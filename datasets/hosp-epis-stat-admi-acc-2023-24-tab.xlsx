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830"/>
  <workbookPr defaultThemeVersion="124226"/>
  <mc:AlternateContent xmlns:mc="http://schemas.openxmlformats.org/markup-compatibility/2006">
    <mc:Choice Requires="x15">
      <x15ac:absPath xmlns:x15ac="http://schemas.microsoft.com/office/spreadsheetml/2010/11/ac" url="G:\SU\Data Analysts-Leeds\HES Publications 2023-24\APC\For Checking\KE checked 16-09\"/>
    </mc:Choice>
  </mc:AlternateContent>
  <xr:revisionPtr revIDLastSave="0" documentId="13_ncr:1_{C787F46B-6F2A-4C30-80B0-04BF402500B3}" xr6:coauthVersionLast="47" xr6:coauthVersionMax="47" xr10:uidLastSave="{00000000-0000-0000-0000-000000000000}"/>
  <bookViews>
    <workbookView xWindow="-120" yWindow="-120" windowWidth="29040" windowHeight="15720" tabRatio="797" xr2:uid="{00000000-000D-0000-FFFF-FFFF00000000}"/>
  </bookViews>
  <sheets>
    <sheet name="Title Sheet" sheetId="35" r:id="rId1"/>
    <sheet name="Contents" sheetId="34" r:id="rId2"/>
    <sheet name="Table 1" sheetId="4" r:id="rId3"/>
    <sheet name="Table 2" sheetId="33" r:id="rId4"/>
    <sheet name="Table 3" sheetId="37" r:id="rId5"/>
    <sheet name="Table 4" sheetId="18" r:id="rId6"/>
    <sheet name="Table 5" sheetId="19" r:id="rId7"/>
    <sheet name="Table 6" sheetId="20" r:id="rId8"/>
    <sheet name="Table 7" sheetId="21" r:id="rId9"/>
    <sheet name="Table 8" sheetId="22" r:id="rId10"/>
    <sheet name="Table 9" sheetId="23" r:id="rId11"/>
    <sheet name="Table 10" sheetId="24" r:id="rId12"/>
    <sheet name="Table 11" sheetId="25" r:id="rId13"/>
    <sheet name="Table 12" sheetId="26" r:id="rId14"/>
    <sheet name="Table 13" sheetId="27" r:id="rId15"/>
    <sheet name="Table 14" sheetId="28" r:id="rId16"/>
    <sheet name="Table 15" sheetId="29" r:id="rId17"/>
    <sheet name="Table 16" sheetId="30" r:id="rId18"/>
    <sheet name="Table 17" sheetId="31" r:id="rId19"/>
  </sheets>
  <externalReferences>
    <externalReference r:id="rId20"/>
  </externalReferences>
  <definedNames>
    <definedName name="_xlnm._FilterDatabase" localSheetId="4" hidden="1">'Table 3'!$A$12:$O$140</definedName>
    <definedName name="Admission_Source">'[1]CC Admission Source'!$A$16:$B$20</definedName>
    <definedName name="Discharge_Destination">'[1]CC Discharge Destination'!$A$16:$B$21</definedName>
    <definedName name="Discharge_location">'[1]CC Discharge Location'!$A$19:$B$28</definedName>
    <definedName name="Discharge_Status">'[1]CC Discharge Status'!$A$21:$B$30</definedName>
    <definedName name="HRG">'Table 12'!$N$10:$O$27</definedName>
    <definedName name="_xlnm.Print_Area" localSheetId="2">'Table 1'!$A$1:$E$33</definedName>
    <definedName name="_xlnm.Print_Area" localSheetId="11">'Table 10'!$A$1:$E$34</definedName>
    <definedName name="_xlnm.Print_Area" localSheetId="12">'Table 11'!$A$1:$E$33</definedName>
    <definedName name="_xlnm.Print_Area" localSheetId="13">'Table 12'!$A$1:$H$46</definedName>
    <definedName name="_xlnm.Print_Area" localSheetId="14">'Table 13'!$A$1:$M$35</definedName>
    <definedName name="_xlnm.Print_Area" localSheetId="15">'Table 14'!$A$1:$E$36</definedName>
    <definedName name="_xlnm.Print_Area" localSheetId="16">'Table 15'!$A$1:$E$27</definedName>
    <definedName name="_xlnm.Print_Area" localSheetId="17">'Table 16'!$A$1:$G$34</definedName>
    <definedName name="_xlnm.Print_Area" localSheetId="18">'Table 17'!$A$1:$H$33</definedName>
    <definedName name="_xlnm.Print_Area" localSheetId="3">'Table 2'!$A$1:$E$26</definedName>
    <definedName name="_xlnm.Print_Area" localSheetId="4">'Table 3'!$A$1:$O$153</definedName>
    <definedName name="_xlnm.Print_Area" localSheetId="5">'Table 4'!$A$1:$I$28</definedName>
    <definedName name="_xlnm.Print_Area" localSheetId="6">'Table 5'!$A$1:$E$32</definedName>
    <definedName name="_xlnm.Print_Area" localSheetId="7">'Table 6'!$A$1:$E$30</definedName>
    <definedName name="_xlnm.Print_Area" localSheetId="8">'Table 7'!$A$1:$E$28</definedName>
    <definedName name="_xlnm.Print_Area" localSheetId="9">'Table 8'!$A$1:$E$35</definedName>
    <definedName name="_xlnm.Print_Area" localSheetId="10">'Table 9'!$A$1:$E$29</definedName>
    <definedName name="_xlnm.Print_Area" localSheetId="0">'Title Sheet'!$A$1:$E$51</definedName>
    <definedName name="_xlnm.Print_Titles" localSheetId="4">'Table 3'!$7:$12</definedName>
    <definedName name="Source_Location">'[1]CC Source Location'!$A$21:$B$32</definedName>
    <definedName name="Unit_Bed_Config">'[1]CC Unit Bed Config'!$A$13:$B$16</definedName>
    <definedName name="Unit_Function">'[1]CC Unit Function'!$A$20:$C$41</definedName>
    <definedName name="Z_87E89946_DAA7_4749_A009_79AD037E1287_.wvu.PrintTitles" localSheetId="4" hidden="1">'Table 3'!$7:$12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4" i="25" l="1"/>
  <c r="B25" i="24"/>
  <c r="B20" i="23"/>
  <c r="B26" i="22"/>
  <c r="B19" i="21"/>
  <c r="B20" i="20"/>
  <c r="C26" i="4"/>
  <c r="E26" i="4" l="1"/>
</calcChain>
</file>

<file path=xl/sharedStrings.xml><?xml version="1.0" encoding="utf-8"?>
<sst xmlns="http://schemas.openxmlformats.org/spreadsheetml/2006/main" count="856" uniqueCount="573">
  <si>
    <t>1. Some hospital trusts may have submitted data for only some months of the year.</t>
  </si>
  <si>
    <t>Total</t>
  </si>
  <si>
    <t>March</t>
  </si>
  <si>
    <t>February</t>
  </si>
  <si>
    <t>January</t>
  </si>
  <si>
    <t>December</t>
  </si>
  <si>
    <t>November</t>
  </si>
  <si>
    <t>October</t>
  </si>
  <si>
    <t>September</t>
  </si>
  <si>
    <t>August</t>
  </si>
  <si>
    <t>July</t>
  </si>
  <si>
    <t>June</t>
  </si>
  <si>
    <t>May</t>
  </si>
  <si>
    <t>April</t>
  </si>
  <si>
    <t>Percentage of critical care records</t>
  </si>
  <si>
    <t>Number of critical care records</t>
  </si>
  <si>
    <t>Critical Care Unit month of discharge</t>
  </si>
  <si>
    <t xml:space="preserve">
Provider name</t>
  </si>
  <si>
    <t>Provider code</t>
  </si>
  <si>
    <t>Sunday</t>
  </si>
  <si>
    <t>Saturday</t>
  </si>
  <si>
    <t>Friday</t>
  </si>
  <si>
    <t>Thursday</t>
  </si>
  <si>
    <t>Wednesday</t>
  </si>
  <si>
    <t>Tuesday</t>
  </si>
  <si>
    <t>Monday</t>
  </si>
  <si>
    <t>Week day</t>
  </si>
  <si>
    <t>Discharge day</t>
  </si>
  <si>
    <t>Start day</t>
  </si>
  <si>
    <t>Table 4: Critical care records by start day and discharge day</t>
  </si>
  <si>
    <t>Mean critical care duration (days)</t>
  </si>
  <si>
    <t>2. This field relates only to the period of critical care and not the over-arching hospital admission.</t>
  </si>
  <si>
    <t>1. This is a non-mandatory field in the Critical Care Minimum Data Set (CCMDS)</t>
  </si>
  <si>
    <t>Unknown / not recorded</t>
  </si>
  <si>
    <t>Sub total</t>
  </si>
  <si>
    <t>Repatriation</t>
  </si>
  <si>
    <t>Planned local medical admission</t>
  </si>
  <si>
    <t>Unplanned transfer in</t>
  </si>
  <si>
    <t>Planned transfer in (tertiary referral)</t>
  </si>
  <si>
    <t>Planned local surgical admission</t>
  </si>
  <si>
    <t>Unplanned local admission</t>
  </si>
  <si>
    <t>Critical Care Unit admission type</t>
  </si>
  <si>
    <t>Non-UK source such as repatriation, military personnel or foreign national</t>
  </si>
  <si>
    <t>Independent hospital provider in the UK</t>
  </si>
  <si>
    <t>Non-hospital source within the UK (e.g. home)</t>
  </si>
  <si>
    <t>Other NHS hospital site (same or different NHS trust)</t>
  </si>
  <si>
    <t>Same NHS hospital site</t>
  </si>
  <si>
    <t>Critical care unit admission source</t>
  </si>
  <si>
    <t>Clinic</t>
  </si>
  <si>
    <t>Obstetrics area</t>
  </si>
  <si>
    <t>Imaging department</t>
  </si>
  <si>
    <t>Recovery only (when used to provide temporary critical care facility)</t>
  </si>
  <si>
    <t>Adult level 2 critical care bed (HDU bed)</t>
  </si>
  <si>
    <t>Other ward (not critical care)</t>
  </si>
  <si>
    <t>Critical care unit source location</t>
  </si>
  <si>
    <t>Non-UK destination (e.g. repatriation)</t>
  </si>
  <si>
    <t>Non-hospital destination within the UK (e.g. home as coded in location)</t>
  </si>
  <si>
    <t>No discharge destination, patient died in unit</t>
  </si>
  <si>
    <t>Critical care unit discharge destination</t>
  </si>
  <si>
    <t>Discharge for palliative care</t>
  </si>
  <si>
    <t>Early discharge due to shortage of critical care beds</t>
  </si>
  <si>
    <t>More specialised care in another location</t>
  </si>
  <si>
    <t>Current level of care continuing in another location</t>
  </si>
  <si>
    <t>Patient died (no organs donated)</t>
  </si>
  <si>
    <t>Delayed discharge due to shortage of other ward beds</t>
  </si>
  <si>
    <t>Fully ready for discharge</t>
  </si>
  <si>
    <t>Critical care unit discharge status</t>
  </si>
  <si>
    <t>Paediatric critical care area (neonatal and paediatric care)</t>
  </si>
  <si>
    <t>Other non-hospital location</t>
  </si>
  <si>
    <t>Ward</t>
  </si>
  <si>
    <t>Critical Care Unit discharge location</t>
  </si>
  <si>
    <t>U</t>
  </si>
  <si>
    <t>S</t>
  </si>
  <si>
    <t>P</t>
  </si>
  <si>
    <t>N</t>
  </si>
  <si>
    <t>M</t>
  </si>
  <si>
    <t>L</t>
  </si>
  <si>
    <t>K</t>
  </si>
  <si>
    <t>J</t>
  </si>
  <si>
    <t>H</t>
  </si>
  <si>
    <t>G</t>
  </si>
  <si>
    <t>F</t>
  </si>
  <si>
    <t>E</t>
  </si>
  <si>
    <t>D</t>
  </si>
  <si>
    <t>C</t>
  </si>
  <si>
    <t>B</t>
  </si>
  <si>
    <t>A</t>
  </si>
  <si>
    <t>Female</t>
  </si>
  <si>
    <t>Male</t>
  </si>
  <si>
    <t>No support recorded</t>
  </si>
  <si>
    <t xml:space="preserve">Male </t>
  </si>
  <si>
    <t>Support type</t>
  </si>
  <si>
    <t>Average number of support days by critical care period</t>
  </si>
  <si>
    <t>Number of support days by type</t>
  </si>
  <si>
    <t>Number of critical care periods by support type</t>
  </si>
  <si>
    <t>Table 13: Duration of support by gender and support type</t>
  </si>
  <si>
    <t>Non-standard location using the operating department</t>
  </si>
  <si>
    <t>Critical care unit function</t>
  </si>
  <si>
    <t>Temporary use of non-critical care bed</t>
  </si>
  <si>
    <t>Critical care unit bed configuration</t>
  </si>
  <si>
    <t>Admission type</t>
  </si>
  <si>
    <t>Unit bed configuration</t>
  </si>
  <si>
    <t>Discharge status</t>
  </si>
  <si>
    <t>Source location</t>
  </si>
  <si>
    <t>Discharge destination</t>
  </si>
  <si>
    <t>Admission source</t>
  </si>
  <si>
    <t>Percentage of valid records</t>
  </si>
  <si>
    <t>Total number of records</t>
  </si>
  <si>
    <t>Number of valid records</t>
  </si>
  <si>
    <t>Critical care key fields</t>
  </si>
  <si>
    <t>Table 16: Number and percentage of valid records in key fields</t>
  </si>
  <si>
    <t>Critical care period is after the episode</t>
  </si>
  <si>
    <t>Critical care period is before episode</t>
  </si>
  <si>
    <t>Episode has no end date</t>
  </si>
  <si>
    <t>Critical care period has no end date</t>
  </si>
  <si>
    <t>Critical care period overarches episode</t>
  </si>
  <si>
    <t>Critical care period starts during episode but ends after</t>
  </si>
  <si>
    <t>Starts dates match and critical care period ends after episode ends</t>
  </si>
  <si>
    <t>Critical care period starts before and ends during episode</t>
  </si>
  <si>
    <t>End dates match and critical care period starts before episode starts</t>
  </si>
  <si>
    <t>Start dates match and critical care period ends before episode ends</t>
  </si>
  <si>
    <t>End dates match, and critical care period starts after episode starts</t>
  </si>
  <si>
    <t>Critical care period is within episode</t>
  </si>
  <si>
    <t>Start and end dates match</t>
  </si>
  <si>
    <t>Not Best Match</t>
  </si>
  <si>
    <t>Best Match</t>
  </si>
  <si>
    <t>Relationship</t>
  </si>
  <si>
    <t>Table 17: Number of critical care records for each type of relationship</t>
  </si>
  <si>
    <t xml:space="preserve"> </t>
  </si>
  <si>
    <t>January to March</t>
  </si>
  <si>
    <t>October to December</t>
  </si>
  <si>
    <t>July to September</t>
  </si>
  <si>
    <t>April to June</t>
  </si>
  <si>
    <t>Quarter</t>
  </si>
  <si>
    <t>Eyes and Periorbita</t>
  </si>
  <si>
    <t>Respiratory System</t>
  </si>
  <si>
    <t>Digestive System</t>
  </si>
  <si>
    <t>Hepatobiliary and Pancreatic System</t>
  </si>
  <si>
    <t>Musculoskeletal System</t>
  </si>
  <si>
    <t>Skin, Breast and Burns</t>
  </si>
  <si>
    <t>Endocrine and Metabolic System</t>
  </si>
  <si>
    <t>Urinary Tract and Male Reproductive System</t>
  </si>
  <si>
    <t>Female Reproductive System and Assisted Reproduction</t>
  </si>
  <si>
    <t>Obstetrics</t>
  </si>
  <si>
    <t>Diseases of Childhood and Neonates</t>
  </si>
  <si>
    <t>Haematology, Chemotherapy, Radiotherapy and Specialist Palliative Care</t>
  </si>
  <si>
    <t>Undefined Groups</t>
  </si>
  <si>
    <t>V</t>
  </si>
  <si>
    <t>Multiple Trauma, Emergency Medicine and Rehabilitation</t>
  </si>
  <si>
    <t>W</t>
  </si>
  <si>
    <t>Other</t>
  </si>
  <si>
    <t>HRG 4.0 chapter</t>
  </si>
  <si>
    <t>Table 8: Breakdown of critical care unit source location</t>
  </si>
  <si>
    <t>Table 9: Breakdown of critical care unit discharge destination</t>
  </si>
  <si>
    <t>Table 10: Breakdown of critical care unit discharge status</t>
  </si>
  <si>
    <t>Table 11: Breakdown of critical care unit discharge location</t>
  </si>
  <si>
    <t>Table 14: Breakdown of critical care unit function field</t>
  </si>
  <si>
    <t>Table 15: Breakdown of critical care unit bed configuration</t>
  </si>
  <si>
    <t>Table 1: Number of critical care records by month of discharge</t>
  </si>
  <si>
    <t>Table 2: Breakdown of critical care unit discharge date by quarter</t>
  </si>
  <si>
    <t>Table 3: Count of critical care records by provider and month of discharge</t>
  </si>
  <si>
    <t>Table 6: Breakdown of critical care unit admission type</t>
  </si>
  <si>
    <t>Table 7: Breakdown of critical care unit admission source</t>
  </si>
  <si>
    <t xml:space="preserve">No IMD Record      </t>
  </si>
  <si>
    <t>Theatre and recovery (following surgical and/or anaesthetic procedure)</t>
  </si>
  <si>
    <t>Accident and Emergency</t>
  </si>
  <si>
    <t>Other intermediate care or specialist treatment areas including endoscopy units and catheter suites</t>
  </si>
  <si>
    <t>Home or other residence (including nursing home, H.M. Prison or other residential care)</t>
  </si>
  <si>
    <t>Patient died (non heart beating solid organ donor)</t>
  </si>
  <si>
    <t>Self discharge against medical advice</t>
  </si>
  <si>
    <t>Patient died (heart beating solid organ donor)</t>
  </si>
  <si>
    <t>Patient died (cadaveric tissue donor)</t>
  </si>
  <si>
    <t>Adult level 3 critical care bed (ICU bed)</t>
  </si>
  <si>
    <t>No discharge location, Patient died in unit</t>
  </si>
  <si>
    <t>Adult level two critical care bed (e.g. in a flexibly configured unit)</t>
  </si>
  <si>
    <t>Home or other residence (e.g. nursing home, H.M. Prison, residential care)</t>
  </si>
  <si>
    <t>Adult level three critical care bed (e.g. in a flexibly configured unit)</t>
  </si>
  <si>
    <t>Other intermediate care or specialised treatment area but excluding temporary visits en route, e.g. imaging, endoscopy, catheter suites and operating departments.</t>
  </si>
  <si>
    <t>Non-specific, general adult critical care patients predominate</t>
  </si>
  <si>
    <t>Cardiac surgical adult patients predominate</t>
  </si>
  <si>
    <t>Surgical adult patients (unspecified specialty)</t>
  </si>
  <si>
    <t>Neurosciences adult patients predominate</t>
  </si>
  <si>
    <t>Medical adult patients (unspecified specialty)</t>
  </si>
  <si>
    <t>Non-standard location using a Ward area</t>
  </si>
  <si>
    <t>Thoracic surgical adult patients predominate</t>
  </si>
  <si>
    <t>Obstetric and gynaecology critical care patients predominate</t>
  </si>
  <si>
    <t>Renal adult patients predominate</t>
  </si>
  <si>
    <t>Spinal adult patients predominate</t>
  </si>
  <si>
    <t>Burns and plastic surgery adult patients predominate</t>
  </si>
  <si>
    <t>Liver adult patients predominate</t>
  </si>
  <si>
    <t>Discharge time</t>
  </si>
  <si>
    <t>Start time</t>
  </si>
  <si>
    <t>Discharge location</t>
  </si>
  <si>
    <t>Return to Contents</t>
  </si>
  <si>
    <t>Index of Multiple Deprivation (IMD) decile</t>
  </si>
  <si>
    <t>Gastrointestinal support</t>
  </si>
  <si>
    <t>Derived from associated admitted patient episode</t>
  </si>
  <si>
    <t>Table 5: Number of critical care records and average duration in days by Index of Multiple Deprivation group</t>
  </si>
  <si>
    <t>2. All 'unknown' gender records are excluded from this table.</t>
  </si>
  <si>
    <t>(https://www.gov.uk/government/collections/english-indices-of-deprivation)</t>
  </si>
  <si>
    <t>1. Analysis based on deciles of the Index of Multiple Deprivation, a measure which combines a number of indicators, chosen to cover a range of economic, social and housing issues, into a single deprivation score for each small area in England.</t>
  </si>
  <si>
    <t>1. It is possible for one critical care period to incur more than one support type.</t>
  </si>
  <si>
    <t>Notes</t>
  </si>
  <si>
    <t>2. Not all NHS trusts have complete data submissions and data quality is poor in some cases. There are likely therefore to be shortfalls in some figures</t>
  </si>
  <si>
    <t>3. To aid interpretation, it is advised to read these tables in conjunction with the accompanying summary report, data quality note and technical guide.</t>
  </si>
  <si>
    <t>Introduction</t>
  </si>
  <si>
    <t>4. To aid interpretation, it is advised to read these tables in conjunction with the accompanying summary report, data quality note and technical guide.</t>
  </si>
  <si>
    <t>2. To aid interpretation, it is advised to read these tables in conjunction with the accompanying summary report, data quality note and technical guide.</t>
  </si>
  <si>
    <t>2. Not all NHS trusts have complete data submissions and data quality is poor in some cases. There are likely therefore to be shortfalls in some figures.</t>
  </si>
  <si>
    <t>5. To aid interpretation, it is advised to read these tables in conjunction with the accompanying summary report, data quality note and technical guide.</t>
  </si>
  <si>
    <r>
      <t>Table 1: Number of critical care records by month of discharge</t>
    </r>
    <r>
      <rPr>
        <b/>
        <vertAlign val="superscript"/>
        <sz val="14"/>
        <color rgb="FF005EB8"/>
        <rFont val="Arial"/>
        <family val="2"/>
      </rPr>
      <t>1</t>
    </r>
  </si>
  <si>
    <r>
      <t>Table 15: Breakdown of critical care unit bed configuration</t>
    </r>
    <r>
      <rPr>
        <b/>
        <vertAlign val="superscript"/>
        <sz val="14"/>
        <color rgb="FF005EB8"/>
        <rFont val="Arial"/>
        <family val="2"/>
      </rPr>
      <t>1</t>
    </r>
  </si>
  <si>
    <r>
      <t>Table 14: Breakdown of critical care unit function field</t>
    </r>
    <r>
      <rPr>
        <b/>
        <vertAlign val="superscript"/>
        <sz val="14"/>
        <color rgb="FF005EB8"/>
        <rFont val="Arial"/>
        <family val="2"/>
      </rPr>
      <t>1</t>
    </r>
  </si>
  <si>
    <r>
      <t>Table 11: Breakdown of critical care unit discharge location</t>
    </r>
    <r>
      <rPr>
        <b/>
        <vertAlign val="superscript"/>
        <sz val="14"/>
        <color rgb="FF005EB8"/>
        <rFont val="Arial"/>
        <family val="2"/>
      </rPr>
      <t>1</t>
    </r>
  </si>
  <si>
    <r>
      <t>Table 10: Breakdown of critical care unit discharge status</t>
    </r>
    <r>
      <rPr>
        <b/>
        <vertAlign val="superscript"/>
        <sz val="14"/>
        <color rgb="FF005EB8"/>
        <rFont val="Arial"/>
        <family val="2"/>
      </rPr>
      <t>1</t>
    </r>
  </si>
  <si>
    <r>
      <t>Table 9: Breakdown of critical care unit discharge destination</t>
    </r>
    <r>
      <rPr>
        <b/>
        <vertAlign val="superscript"/>
        <sz val="14"/>
        <color rgb="FF005EB8"/>
        <rFont val="Arial"/>
        <family val="2"/>
      </rPr>
      <t>1</t>
    </r>
  </si>
  <si>
    <r>
      <t>Table 8: Breakdown of critical care unit source location</t>
    </r>
    <r>
      <rPr>
        <b/>
        <vertAlign val="superscript"/>
        <sz val="14"/>
        <color rgb="FF005EB8"/>
        <rFont val="Arial"/>
        <family val="2"/>
      </rPr>
      <t>1</t>
    </r>
  </si>
  <si>
    <r>
      <t>Table 7: Breakdown of critical care unit admission source</t>
    </r>
    <r>
      <rPr>
        <b/>
        <vertAlign val="superscript"/>
        <sz val="14"/>
        <color rgb="FF005EB8"/>
        <rFont val="Arial"/>
        <family val="2"/>
      </rPr>
      <t>1</t>
    </r>
  </si>
  <si>
    <r>
      <t>Table 6: Breakdown of critical care unit admission type</t>
    </r>
    <r>
      <rPr>
        <b/>
        <vertAlign val="superscript"/>
        <sz val="14"/>
        <color rgb="FF005EB8"/>
        <rFont val="Arial"/>
        <family val="2"/>
      </rPr>
      <t>1,2</t>
    </r>
  </si>
  <si>
    <r>
      <t>Table 5: Number of critical care records and average duration in days by Index of Multiple Deprivation decile</t>
    </r>
    <r>
      <rPr>
        <b/>
        <vertAlign val="superscript"/>
        <sz val="14"/>
        <color rgb="FF005EB8"/>
        <rFont val="Arial"/>
        <family val="2"/>
      </rPr>
      <t>1</t>
    </r>
  </si>
  <si>
    <r>
      <t>Table 2: Breakdown of critical care unit discharge date by quarter</t>
    </r>
    <r>
      <rPr>
        <b/>
        <vertAlign val="superscript"/>
        <sz val="14"/>
        <color rgb="FF005EB8"/>
        <rFont val="Arial"/>
        <family val="2"/>
      </rPr>
      <t>1</t>
    </r>
  </si>
  <si>
    <r>
      <t>Table 4: Critical care records by start day and discharge day</t>
    </r>
    <r>
      <rPr>
        <b/>
        <vertAlign val="superscript"/>
        <sz val="14"/>
        <color rgb="FF005EB8"/>
        <rFont val="Arial"/>
        <family val="2"/>
      </rPr>
      <t xml:space="preserve"> </t>
    </r>
  </si>
  <si>
    <t>Data Tables</t>
  </si>
  <si>
    <t>The tables should be referenced alongside the Annual Summary Report.</t>
  </si>
  <si>
    <t>Further information</t>
  </si>
  <si>
    <t>More about HES:</t>
  </si>
  <si>
    <t>HES Data Dictionary:</t>
  </si>
  <si>
    <t>Contact details</t>
  </si>
  <si>
    <t>Email: enquiries@nhsdigital.nhs.uk</t>
  </si>
  <si>
    <t>Press enquiries should be made to: Media Relations Manager: telephone 0300 303 3888</t>
  </si>
  <si>
    <t>NHS Digital is the trading name of the Health and Social Care Information Centre</t>
  </si>
  <si>
    <t xml:space="preserve">You may re-use this document/publication (not including logos) free of charge in any format or medium, under the terms of the Open Government Licence v3.0.
To view this licence visit www.nationalarchives.gov.uk/doc/open-government-licence
or write to the Information Policy Team, The National Archives,
Kew, Richmond, Surrey, TW9 4DU;
or email psi.nationalarchives.gsi.gov.uk
</t>
  </si>
  <si>
    <t>https://digital.nhs.uk/data-and-information/data-tools-and-services/data-services/hospital-episode-statistics/hospital-episode-statistics-data-dictionary</t>
  </si>
  <si>
    <t>Y</t>
  </si>
  <si>
    <r>
      <t>Table 12: Number of critical care records by Health Resource Group (HRG) 4+ and gender</t>
    </r>
    <r>
      <rPr>
        <b/>
        <vertAlign val="superscript"/>
        <sz val="14"/>
        <color rgb="FF005EB8"/>
        <rFont val="Arial"/>
        <family val="2"/>
      </rPr>
      <t>1, 2, 3</t>
    </r>
  </si>
  <si>
    <t>1. HRG 4+ information is sourced from the admitted patient episode.</t>
  </si>
  <si>
    <t>https://digital.nhs.uk/binaries/content/assets/legacy/pdf/n/d/hrg4__201718_local_payment_grouper_summary_of_changes_v1.2.pdf</t>
  </si>
  <si>
    <t>Table 12: Number of critical care records by Health Resource Group (HRG) 4+ and gender</t>
  </si>
  <si>
    <t>5. In order to protect patient confidentiality '*' appears in the table above for all sub-national breakdowns, where it is possible to calculate a value between 1 and 7 from the data presented. All other sub-national data has been rounded to the nearest 5.
If the national total is between 1 and 7 (inclusive), no sub-national breakdown will be displayed. 
If the national total is greater than or equal to 8;
a. Sub-national counts between 1 and 7 (inclusive) will be displayed as ’*’.
b. Zeroes will be unchanged.
c. All other counts will be rounded to the nearest 5.</t>
  </si>
  <si>
    <t>1 - Most deprived 10%</t>
  </si>
  <si>
    <t>2 - More deprived 10-20%</t>
  </si>
  <si>
    <t>3 - More deprived 20-30%</t>
  </si>
  <si>
    <t>4 - More deprived 30-40%</t>
  </si>
  <si>
    <t>5 - More deprived 40-50%</t>
  </si>
  <si>
    <t>6 - Less deprived 40-50%</t>
  </si>
  <si>
    <t>7 - Less deprived 30-40%</t>
  </si>
  <si>
    <t>8 - Less deprived 20-30%</t>
  </si>
  <si>
    <t>9 - Less deprived 10-20%</t>
  </si>
  <si>
    <t>10 - Least deprived 10%</t>
  </si>
  <si>
    <t>2. Healthcare Resource Groups (HRGs) are standard groupings of clinically similar treatments which use common levels of healthcare resource. 
HRGs help organisations to understand their activity in terms of the types of patients they care for and the treatments they undertake. They enable the comparison of activity within and between different organisations and provide an opportunity to benchmark treatments and services to support trend analysis over time. 
For 2017-18 and 2018-19, HRG version 4+ has been used, this contains several differences to HRG version 4 that was used in the 2016-17 data.  For further information about the HRG4+ 2017-18 Local Payment Grouper and a summary of changes please use the following link:</t>
  </si>
  <si>
    <t>https://digital.nhs.uk/data-and-information/data-tools-and-services/data-services/hospital-episode-statistics</t>
  </si>
  <si>
    <t>Nervous System</t>
  </si>
  <si>
    <t>R</t>
  </si>
  <si>
    <t>Diagnostic Imaging and Nuclear Medicine</t>
  </si>
  <si>
    <t>Infectious Diseases, Immune System Disorders and other Healthcare contacts</t>
  </si>
  <si>
    <t>Ear, Nose, Mouth, Throat, Neck and Dental</t>
  </si>
  <si>
    <t>Cardiac</t>
  </si>
  <si>
    <t>Vascular Procedures and Disorders and Imaging Interventions</t>
  </si>
  <si>
    <t>The tables within this spreadsheet report on hospital adult critical care activity. The data are taken from the Hospital Episode Statistics (HES) data warehouse. HES contains records of all admissions, appointments, and attendances for patients admitted to NHS hospitals in England. The HES data used in this publication are called adult critical care records. This publication examines critical care periods, patient demographics and provides clinical analysis.</t>
  </si>
  <si>
    <t>Author: Secondary Care Open Data and Publications, NHS England</t>
  </si>
  <si>
    <t>Published by NHS England part of the Government Statistical Service</t>
  </si>
  <si>
    <t>Tables 1 to 15 refer to data that can be found in the Hospital Adult Critical Care Activity - Report</t>
  </si>
  <si>
    <t>Tables 16 to 17 refer to data that can be found in the Hospital Adult Critical Care Activity - Report: Appendix 1 - Data Quality Statement</t>
  </si>
  <si>
    <t xml:space="preserve">1. Critical care periods should be reported when the episodes to which they relate are complete. Some critical care periods associated with hospital admitted patient episodes which are still ongoing at the end of the period of coverage will not be reported into the system until the following financial year, when they have finished, and are therefore not included for analysis. </t>
  </si>
  <si>
    <t xml:space="preserve">2. Critical care periods should be reported when the episodes to which they relate are complete. Some critical care periods associated with hospital admitted patient episodes which are still ongoing at the end of the period of coverage  will not be reported into the system until the following financial year, when they have finished, and are therefore not included for analysis. </t>
  </si>
  <si>
    <t>2022-23</t>
  </si>
  <si>
    <t>August 2022</t>
  </si>
  <si>
    <t>September 2022</t>
  </si>
  <si>
    <t>October 2022</t>
  </si>
  <si>
    <t>November 2022</t>
  </si>
  <si>
    <t>December 2022</t>
  </si>
  <si>
    <t>January 2023</t>
  </si>
  <si>
    <t>February 2023</t>
  </si>
  <si>
    <t>March 2023</t>
  </si>
  <si>
    <t>NT3</t>
  </si>
  <si>
    <t>NT4</t>
  </si>
  <si>
    <t>R0A</t>
  </si>
  <si>
    <t>R0B</t>
  </si>
  <si>
    <t>R0D</t>
  </si>
  <si>
    <t>R1F</t>
  </si>
  <si>
    <t>R1H</t>
  </si>
  <si>
    <t>R1K</t>
  </si>
  <si>
    <t>RA2</t>
  </si>
  <si>
    <t>RA7</t>
  </si>
  <si>
    <t>RAJ</t>
  </si>
  <si>
    <t>RAL</t>
  </si>
  <si>
    <t>RAN</t>
  </si>
  <si>
    <t>RAP</t>
  </si>
  <si>
    <t>RAS</t>
  </si>
  <si>
    <t>RAX</t>
  </si>
  <si>
    <t>RBD</t>
  </si>
  <si>
    <t>RBK</t>
  </si>
  <si>
    <t>RBL</t>
  </si>
  <si>
    <t>RBN</t>
  </si>
  <si>
    <t>RBQ</t>
  </si>
  <si>
    <t>RBT</t>
  </si>
  <si>
    <t>RBV</t>
  </si>
  <si>
    <t>RC9</t>
  </si>
  <si>
    <t>RCB</t>
  </si>
  <si>
    <t>RCD</t>
  </si>
  <si>
    <t>RCF</t>
  </si>
  <si>
    <t>RCX</t>
  </si>
  <si>
    <t>RD1</t>
  </si>
  <si>
    <t>RD8</t>
  </si>
  <si>
    <t>RDE</t>
  </si>
  <si>
    <t>RDU</t>
  </si>
  <si>
    <t>REF</t>
  </si>
  <si>
    <t>REM</t>
  </si>
  <si>
    <t>RET</t>
  </si>
  <si>
    <t>RF4</t>
  </si>
  <si>
    <t>RFF</t>
  </si>
  <si>
    <t>RFR</t>
  </si>
  <si>
    <t>RFS</t>
  </si>
  <si>
    <t>RGM</t>
  </si>
  <si>
    <t>RGP</t>
  </si>
  <si>
    <t>RGR</t>
  </si>
  <si>
    <t>RGT</t>
  </si>
  <si>
    <t>RH5</t>
  </si>
  <si>
    <t>RH8</t>
  </si>
  <si>
    <t>RHM</t>
  </si>
  <si>
    <t>RHQ</t>
  </si>
  <si>
    <t>RHU</t>
  </si>
  <si>
    <t>RHW</t>
  </si>
  <si>
    <t>RJ1</t>
  </si>
  <si>
    <t>RJ2</t>
  </si>
  <si>
    <t>RJ6</t>
  </si>
  <si>
    <t>RJ7</t>
  </si>
  <si>
    <t>RJC</t>
  </si>
  <si>
    <t>RJE</t>
  </si>
  <si>
    <t>RJL</t>
  </si>
  <si>
    <t>RJN</t>
  </si>
  <si>
    <t>RJR</t>
  </si>
  <si>
    <t>RJZ</t>
  </si>
  <si>
    <t>RK5</t>
  </si>
  <si>
    <t>RK9</t>
  </si>
  <si>
    <t>RKB</t>
  </si>
  <si>
    <t>RKE</t>
  </si>
  <si>
    <t>RL1</t>
  </si>
  <si>
    <t>RL4</t>
  </si>
  <si>
    <t>RLQ</t>
  </si>
  <si>
    <t>RLT</t>
  </si>
  <si>
    <t>RM1</t>
  </si>
  <si>
    <t>RM3</t>
  </si>
  <si>
    <t>RMC</t>
  </si>
  <si>
    <t>RMP</t>
  </si>
  <si>
    <t>RN3</t>
  </si>
  <si>
    <t>RN5</t>
  </si>
  <si>
    <t>RN7</t>
  </si>
  <si>
    <t>RNA</t>
  </si>
  <si>
    <t>RNN</t>
  </si>
  <si>
    <t>RNQ</t>
  </si>
  <si>
    <t>RNS</t>
  </si>
  <si>
    <t>RNZ</t>
  </si>
  <si>
    <t>RP5</t>
  </si>
  <si>
    <t>RPA</t>
  </si>
  <si>
    <t>RPC</t>
  </si>
  <si>
    <t>RPY</t>
  </si>
  <si>
    <t>RQ3</t>
  </si>
  <si>
    <t>RQM</t>
  </si>
  <si>
    <t>RQW</t>
  </si>
  <si>
    <t>RQX</t>
  </si>
  <si>
    <t>RR7</t>
  </si>
  <si>
    <t>RR8</t>
  </si>
  <si>
    <t>RRF</t>
  </si>
  <si>
    <t>RRJ</t>
  </si>
  <si>
    <t>RRK</t>
  </si>
  <si>
    <t>RRV</t>
  </si>
  <si>
    <t>RTD</t>
  </si>
  <si>
    <t>RTE</t>
  </si>
  <si>
    <t>RTF</t>
  </si>
  <si>
    <t>RTG</t>
  </si>
  <si>
    <t>RTH</t>
  </si>
  <si>
    <t>RTK</t>
  </si>
  <si>
    <t>RTR</t>
  </si>
  <si>
    <t>RTX</t>
  </si>
  <si>
    <t>RVJ</t>
  </si>
  <si>
    <t>RVR</t>
  </si>
  <si>
    <t>RVV</t>
  </si>
  <si>
    <t>RVW</t>
  </si>
  <si>
    <t>RVY</t>
  </si>
  <si>
    <t>RWA</t>
  </si>
  <si>
    <t>RWD</t>
  </si>
  <si>
    <t>RWE</t>
  </si>
  <si>
    <t>RWF</t>
  </si>
  <si>
    <t>RWG</t>
  </si>
  <si>
    <t>RWH</t>
  </si>
  <si>
    <t>RWJ</t>
  </si>
  <si>
    <t>RWP</t>
  </si>
  <si>
    <t>RWW</t>
  </si>
  <si>
    <t>RWY</t>
  </si>
  <si>
    <t>RX1</t>
  </si>
  <si>
    <t>RXC</t>
  </si>
  <si>
    <t>RXF</t>
  </si>
  <si>
    <t>RXK</t>
  </si>
  <si>
    <t>RXL</t>
  </si>
  <si>
    <t>RXN</t>
  </si>
  <si>
    <t>RXP</t>
  </si>
  <si>
    <t>RXQ</t>
  </si>
  <si>
    <t>RXR</t>
  </si>
  <si>
    <t>RXW</t>
  </si>
  <si>
    <t>RYJ</t>
  </si>
  <si>
    <t>RYR</t>
  </si>
  <si>
    <t>SPIRE HEALTHCARE</t>
  </si>
  <si>
    <t>CIRCLE HEALTH GROUP LIMITED</t>
  </si>
  <si>
    <t>MANCHESTER UNIVERSITY NHS FOUNDATION TRUST</t>
  </si>
  <si>
    <t>SOUTH TYNESIDE AND SUNDERLAND NHS FOUNDATION TRUST</t>
  </si>
  <si>
    <t>UNIVERSITY HOSPITALS DORSET NHS FOUNDATION TRUST</t>
  </si>
  <si>
    <t>ISLE OF WIGHT NHS TRUST</t>
  </si>
  <si>
    <t>BARTS HEALTH NHS TRUST</t>
  </si>
  <si>
    <t>LONDON NORTH WEST UNIVERSITY HEALTHCARE NHS TRUST</t>
  </si>
  <si>
    <t>ROYAL SURREY COUNTY HOSPITAL NHS FOUNDATION TRUST</t>
  </si>
  <si>
    <t>UNIVERSITY HOSPITALS BRISTOL AND WESTON NHS FOUNDATION TRUST</t>
  </si>
  <si>
    <t>MID AND SOUTH ESSEX NHS FOUNDATION TRUST</t>
  </si>
  <si>
    <t>ROYAL FREE LONDON NHS FOUNDATION TRUST</t>
  </si>
  <si>
    <t>ROYAL NATIONAL ORTHOPAEDIC HOSPITAL NHS TRUST</t>
  </si>
  <si>
    <t>NORTH MIDDLESEX UNIVERSITY HOSPITAL NHS TRUST</t>
  </si>
  <si>
    <t>THE HILLINGDON HOSPITALS NHS FOUNDATION TRUST</t>
  </si>
  <si>
    <t>KINGSTON HOSPITAL NHS FOUNDATION TRUST</t>
  </si>
  <si>
    <t>DORSET COUNTY HOSPITAL NHS FOUNDATION TRUST</t>
  </si>
  <si>
    <t>WALSALL HEALTHCARE NHS TRUST</t>
  </si>
  <si>
    <t>WIRRAL UNIVERSITY TEACHING HOSPITAL NHS FOUNDATION TRUST</t>
  </si>
  <si>
    <t>ST HELENS AND KNOWSLEY TEACHING HOSPITALS NHS TRUST</t>
  </si>
  <si>
    <t>LIVERPOOL HEART AND CHEST HOSPITAL NHS FOUNDATION TRUST</t>
  </si>
  <si>
    <t>MID CHESHIRE HOSPITALS NHS FOUNDATION TRUST</t>
  </si>
  <si>
    <t>THE CHRISTIE NHS FOUNDATION TRUST</t>
  </si>
  <si>
    <t>BEDFORDSHIRE HOSPITALS NHS FOUNDATION TRUST</t>
  </si>
  <si>
    <t>YORK AND SCARBOROUGH TEACHING HOSPITALS NHS FOUNDATION TRUST</t>
  </si>
  <si>
    <t>HARROGATE AND DISTRICT NHS FOUNDATION TRUST</t>
  </si>
  <si>
    <t>AIREDALE NHS FOUNDATION TRUST</t>
  </si>
  <si>
    <t>THE QUEEN ELIZABETH HOSPITAL, KING'S LYNN, NHS FOUNDATION TRUST</t>
  </si>
  <si>
    <t>ROYAL UNITED HOSPITALS BATH NHS FOUNDATION TRUST</t>
  </si>
  <si>
    <t>MILTON KEYNES UNIVERSITY HOSPITAL NHS FOUNDATION TRUST</t>
  </si>
  <si>
    <t>EAST SUFFOLK AND NORTH ESSEX NHS FOUNDATION TRUST</t>
  </si>
  <si>
    <t>FRIMLEY HEALTH NHS FOUNDATION TRUST</t>
  </si>
  <si>
    <t>ROYAL CORNWALL HOSPITALS NHS TRUST</t>
  </si>
  <si>
    <t>LIVERPOOL UNIVERSITY HOSPITALS NHS FOUNDATION TRUST</t>
  </si>
  <si>
    <t>THE WALTON CENTRE NHS FOUNDATION TRUST</t>
  </si>
  <si>
    <t>BARKING, HAVERING AND REDBRIDGE UNIVERSITY HOSPITALS NHS TRUST</t>
  </si>
  <si>
    <t>BARNSLEY HOSPITAL NHS FOUNDATION TRUST</t>
  </si>
  <si>
    <t>THE ROTHERHAM NHS FOUNDATION TRUST</t>
  </si>
  <si>
    <t>CHESTERFIELD ROYAL HOSPITAL NHS FOUNDATION TRUST</t>
  </si>
  <si>
    <t>ROYAL PAPWORTH HOSPITAL NHS FOUNDATION TRUST</t>
  </si>
  <si>
    <t>JAMES PAGET UNIVERSITY HOSPITALS NHS FOUNDATION TRUST</t>
  </si>
  <si>
    <t>WEST SUFFOLK NHS FOUNDATION TRUST</t>
  </si>
  <si>
    <t>CAMBRIDGE UNIVERSITY HOSPITALS NHS FOUNDATION TRUST</t>
  </si>
  <si>
    <t>SOMERSET NHS FOUNDATION TRUST</t>
  </si>
  <si>
    <t>ROYAL DEVON UNIVERSITY HEALTHCARE NHS FOUNDATION TRUST</t>
  </si>
  <si>
    <t>UNIVERSITY HOSPITAL SOUTHAMPTON NHS FOUNDATION TRUST</t>
  </si>
  <si>
    <t>SHEFFIELD TEACHING HOSPITALS NHS FOUNDATION TRUST</t>
  </si>
  <si>
    <t>PORTSMOUTH HOSPITALS UNIVERSITY NATIONAL HEALTH SERVICE TRUST</t>
  </si>
  <si>
    <t>ROYAL BERKSHIRE NHS FOUNDATION TRUST</t>
  </si>
  <si>
    <t>GUY'S AND ST THOMAS' NHS FOUNDATION TRUST</t>
  </si>
  <si>
    <t>LEWISHAM AND GREENWICH NHS TRUST</t>
  </si>
  <si>
    <t>CROYDON HEALTH SERVICES NHS TRUST</t>
  </si>
  <si>
    <t>ST GEORGE'S UNIVERSITY HOSPITALS NHS FOUNDATION TRUST</t>
  </si>
  <si>
    <t>SOUTH WARWICKSHIRE NHS FOUNDATION TRUST</t>
  </si>
  <si>
    <t>UNIVERSITY HOSPITALS OF NORTH MIDLANDS NHS TRUST</t>
  </si>
  <si>
    <t>NORTHERN LINCOLNSHIRE AND GOOLE NHS FOUNDATION TRUST</t>
  </si>
  <si>
    <t>EAST CHESHIRE NHS TRUST</t>
  </si>
  <si>
    <t>COUNTESS OF CHESTER HOSPITAL NHS FOUNDATION TRUST</t>
  </si>
  <si>
    <t>KING'S COLLEGE HOSPITAL NHS FOUNDATION TRUST</t>
  </si>
  <si>
    <t>SHERWOOD FOREST HOSPITALS NHS FOUNDATION TRUST</t>
  </si>
  <si>
    <t>UNIVERSITY HOSPITALS PLYMOUTH NHS TRUST</t>
  </si>
  <si>
    <t>UNIVERSITY HOSPITALS COVENTRY AND WARWICKSHIRE NHS TRUST</t>
  </si>
  <si>
    <t>WHITTINGTON HEALTH NHS TRUST</t>
  </si>
  <si>
    <t>THE ROBERT JONES AND AGNES HUNT ORTHOPAEDIC HOSPITAL NHS FOUNDATION TRUST</t>
  </si>
  <si>
    <t>THE ROYAL WOLVERHAMPTON NHS TRUST</t>
  </si>
  <si>
    <t>WYE VALLEY NHS TRUST</t>
  </si>
  <si>
    <t>GEORGE ELIOT HOSPITAL NHS TRUST</t>
  </si>
  <si>
    <t>NORFOLK AND NORWICH UNIVERSITY HOSPITALS NHS FOUNDATION TRUST</t>
  </si>
  <si>
    <t>NORTHERN CARE ALLIANCE NHS FOUNDATION TRUST</t>
  </si>
  <si>
    <t>BOLTON NHS FOUNDATION TRUST</t>
  </si>
  <si>
    <t>TAMESIDE AND GLOSSOP INTEGRATED CARE NHS FOUNDATION TRUST</t>
  </si>
  <si>
    <t>GREAT WESTERN HOSPITALS NHS FOUNDATION TRUST</t>
  </si>
  <si>
    <t>HAMPSHIRE HOSPITALS NHS FOUNDATION TRUST</t>
  </si>
  <si>
    <t>DARTFORD AND GRAVESHAM NHS TRUST</t>
  </si>
  <si>
    <t>THE DUDLEY GROUP NHS FOUNDATION TRUST</t>
  </si>
  <si>
    <t>NORTH CUMBRIA INTEGRATED CARE NHS FOUNDATION TRUST</t>
  </si>
  <si>
    <t>KETTERING GENERAL HOSPITAL NHS FOUNDATION TRUST</t>
  </si>
  <si>
    <t>NORTHAMPTON GENERAL HOSPITAL NHS TRUST</t>
  </si>
  <si>
    <t>SALISBURY NHS FOUNDATION TRUST</t>
  </si>
  <si>
    <t>DONCASTER AND BASSETLAW TEACHING HOSPITALS NHS FOUNDATION TRUST</t>
  </si>
  <si>
    <t>MEDWAY NHS FOUNDATION TRUST</t>
  </si>
  <si>
    <t>QUEEN VICTORIA HOSPITAL NHS FOUNDATION TRUST</t>
  </si>
  <si>
    <t>THE ROYAL MARSDEN NHS FOUNDATION TRUST</t>
  </si>
  <si>
    <t>BIRMINGHAM WOMEN'S AND CHILDREN'S NHS FOUNDATION TRUST</t>
  </si>
  <si>
    <t>CHELSEA AND WESTMINSTER HOSPITAL NHS FOUNDATION TRUST</t>
  </si>
  <si>
    <t>THE PRINCESS ALEXANDRA HOSPITAL NHS TRUST</t>
  </si>
  <si>
    <t>HOMERTON HEALTHCARE NHS FOUNDATION TRUST</t>
  </si>
  <si>
    <t>GATESHEAD HEALTH NHS FOUNDATION TRUST</t>
  </si>
  <si>
    <t>LEEDS TEACHING HOSPITALS NHS TRUST</t>
  </si>
  <si>
    <t>WRIGHTINGTON, WIGAN AND LEIGH NHS FOUNDATION TRUST</t>
  </si>
  <si>
    <t>THE ROYAL ORTHOPAEDIC HOSPITAL NHS FOUNDATION TRUST</t>
  </si>
  <si>
    <t>UNIVERSITY HOSPITALS BIRMINGHAM NHS FOUNDATION TRUST</t>
  </si>
  <si>
    <t>UNIVERSITY COLLEGE LONDON HOSPITALS NHS FOUNDATION TRUST</t>
  </si>
  <si>
    <t>THE NEWCASTLE UPON TYNE HOSPITALS NHS FOUNDATION TRUST</t>
  </si>
  <si>
    <t>GLOUCESTERSHIRE HOSPITALS NHS FOUNDATION TRUST</t>
  </si>
  <si>
    <t>NORTHUMBRIA HEALTHCARE NHS FOUNDATION TRUST</t>
  </si>
  <si>
    <t>UNIVERSITY HOSPITALS OF DERBY AND BURTON NHS FOUNDATION TRUST</t>
  </si>
  <si>
    <t>OXFORD UNIVERSITY HOSPITALS NHS FOUNDATION TRUST</t>
  </si>
  <si>
    <t>ASHFORD AND ST PETER'S HOSPITALS NHS FOUNDATION TRUST</t>
  </si>
  <si>
    <t>SOUTH TEES HOSPITALS NHS FOUNDATION TRUST</t>
  </si>
  <si>
    <t>UNIVERSITY HOSPITALS OF MORECAMBE BAY NHS FOUNDATION TRUST</t>
  </si>
  <si>
    <t>NORTH BRISTOL NHS TRUST</t>
  </si>
  <si>
    <t>EPSOM AND ST HELIER UNIVERSITY HOSPITALS NHS TRUST</t>
  </si>
  <si>
    <t>EAST KENT HOSPITALS UNIVERSITY NHS FOUNDATION TRUST</t>
  </si>
  <si>
    <t>NORTH TEES AND HARTLEPOOL NHS FOUNDATION TRUST</t>
  </si>
  <si>
    <t>SOUTHPORT AND ORMSKIRK HOSPITAL NHS TRUST</t>
  </si>
  <si>
    <t>HULL UNIVERSITY TEACHING HOSPITALS NHS TRUST</t>
  </si>
  <si>
    <t>UNITED LINCOLNSHIRE HOSPITALS NHS TRUST</t>
  </si>
  <si>
    <t>UNIVERSITY HOSPITALS OF LEICESTER NHS TRUST</t>
  </si>
  <si>
    <t>MAIDSTONE AND TUNBRIDGE WELLS NHS TRUST</t>
  </si>
  <si>
    <t>WEST HERTFORDSHIRE TEACHING HOSPITALS NHS TRUST</t>
  </si>
  <si>
    <t>EAST AND NORTH HERTFORDSHIRE NHS TRUST</t>
  </si>
  <si>
    <t>STOCKPORT NHS FOUNDATION TRUST</t>
  </si>
  <si>
    <t>WORCESTERSHIRE ACUTE HOSPITALS NHS TRUST</t>
  </si>
  <si>
    <t>WARRINGTON AND HALTON TEACHING HOSPITALS NHS FOUNDATION TRUST</t>
  </si>
  <si>
    <t>CALDERDALE AND HUDDERSFIELD NHS FOUNDATION TRUST</t>
  </si>
  <si>
    <t>NOTTINGHAM UNIVERSITY HOSPITALS NHS TRUST</t>
  </si>
  <si>
    <t>EAST SUSSEX HEALTHCARE NHS TRUST</t>
  </si>
  <si>
    <t>MID YORKSHIRE HOSPITALS NHS TRUST</t>
  </si>
  <si>
    <t>SANDWELL AND WEST BIRMINGHAM HOSPITALS NHS TRUST</t>
  </si>
  <si>
    <t>BLACKPOOL TEACHING HOSPITALS NHS FOUNDATION TRUST</t>
  </si>
  <si>
    <t>LANCASHIRE TEACHING HOSPITALS NHS FOUNDATION TRUST</t>
  </si>
  <si>
    <t>COUNTY DURHAM AND DARLINGTON NHS FOUNDATION TRUST</t>
  </si>
  <si>
    <t>BUCKINGHAMSHIRE HEALTHCARE NHS TRUST</t>
  </si>
  <si>
    <t>EAST LANCASHIRE HOSPITALS NHS TRUST</t>
  </si>
  <si>
    <t>THE SHREWSBURY AND TELFORD HOSPITAL NHS TRUST</t>
  </si>
  <si>
    <t>IMPERIAL COLLEGE HEALTHCARE NHS TRUST</t>
  </si>
  <si>
    <t>UNIVERSITY HOSPITALS SUSSEX NHS FOUNDATION TRUST</t>
  </si>
  <si>
    <t>April
2022</t>
  </si>
  <si>
    <t>May
2022</t>
  </si>
  <si>
    <t>June
2022</t>
  </si>
  <si>
    <t>July 
2022</t>
  </si>
  <si>
    <t>*</t>
  </si>
  <si>
    <t/>
  </si>
  <si>
    <t>Link to publication</t>
  </si>
  <si>
    <t>Link to supporting information</t>
  </si>
  <si>
    <t>2023-24</t>
  </si>
  <si>
    <t>Copyright © 2024, NHS England.</t>
  </si>
  <si>
    <t>Table 3: Count of critical care records by provider and month of discharge, 2023-24</t>
  </si>
  <si>
    <t>Hospital Adult Critical Care Activity - 2023-24</t>
  </si>
  <si>
    <t>Publication date: 26th September 2024</t>
  </si>
  <si>
    <t>Responsible Statistician: Karl Eichler</t>
  </si>
  <si>
    <t>Copyright © 2024</t>
  </si>
  <si>
    <t>3. Not all NHS trusts have complete data submissions and data quality is poor in some cases. There are likely therefore to be shortfalls in some figures.</t>
  </si>
  <si>
    <t>1. Not all NHS trusts have complete data submissions and data quality is poor in some cases. There are likely therefore to be shortfalls in some figures.</t>
  </si>
  <si>
    <t>1. This is a non-mandatory field in the Critical Care Minimum Data Set (CCMDS).</t>
  </si>
  <si>
    <t>3. All 'unknown' gender records are excluded from this table.</t>
  </si>
  <si>
    <t>4. Not all NHS trusts have complete data submissions and data quality is poor in some cases. There are likely therefore to be shortfalls in some figures.</t>
  </si>
  <si>
    <r>
      <t>Liver support</t>
    </r>
    <r>
      <rPr>
        <vertAlign val="superscript"/>
        <sz val="10"/>
        <rFont val="Arial"/>
        <family val="2"/>
      </rPr>
      <t>5</t>
    </r>
  </si>
  <si>
    <t>5. Mandatory field in Critical Care Minimum Data Set.</t>
  </si>
  <si>
    <t>1. This is a mandatory field in the Critical Care Minimum Data Set (CCMDS).</t>
  </si>
  <si>
    <r>
      <t>Table 13: Duration of support by gender and support type</t>
    </r>
    <r>
      <rPr>
        <b/>
        <vertAlign val="superscript"/>
        <sz val="14"/>
        <color rgb="FF005EB8"/>
        <rFont val="Arial"/>
        <family val="2"/>
      </rPr>
      <t>1,2</t>
    </r>
  </si>
  <si>
    <r>
      <t>Basic cardiovascular support</t>
    </r>
    <r>
      <rPr>
        <vertAlign val="superscript"/>
        <sz val="10"/>
        <rFont val="Arial"/>
        <family val="2"/>
      </rPr>
      <t>5</t>
    </r>
  </si>
  <si>
    <r>
      <t>Advanced respiratory support</t>
    </r>
    <r>
      <rPr>
        <vertAlign val="superscript"/>
        <sz val="10"/>
        <rFont val="Arial"/>
        <family val="2"/>
      </rPr>
      <t>5</t>
    </r>
  </si>
  <si>
    <r>
      <t>Basic respiratory support</t>
    </r>
    <r>
      <rPr>
        <vertAlign val="superscript"/>
        <sz val="10"/>
        <rFont val="Arial"/>
        <family val="2"/>
      </rPr>
      <t>5</t>
    </r>
  </si>
  <si>
    <r>
      <t>Advanced cardiovascular support</t>
    </r>
    <r>
      <rPr>
        <vertAlign val="superscript"/>
        <sz val="10"/>
        <rFont val="Arial"/>
        <family val="2"/>
      </rPr>
      <t>5</t>
    </r>
  </si>
  <si>
    <r>
      <t>Renal support</t>
    </r>
    <r>
      <rPr>
        <vertAlign val="superscript"/>
        <sz val="10"/>
        <rFont val="Arial"/>
        <family val="2"/>
      </rPr>
      <t>5</t>
    </r>
  </si>
  <si>
    <r>
      <t>Neurological support</t>
    </r>
    <r>
      <rPr>
        <vertAlign val="superscript"/>
        <sz val="10"/>
        <rFont val="Arial"/>
        <family val="2"/>
      </rPr>
      <t>5</t>
    </r>
  </si>
  <si>
    <r>
      <t>Dermatological support</t>
    </r>
    <r>
      <rPr>
        <vertAlign val="superscript"/>
        <sz val="10"/>
        <rFont val="Arial"/>
        <family val="2"/>
      </rPr>
      <t>5</t>
    </r>
  </si>
  <si>
    <t>Flexible critical care beds where there is a mix of level 2 and level 3 beds</t>
  </si>
  <si>
    <r>
      <t>Level 2 beds only</t>
    </r>
    <r>
      <rPr>
        <vertAlign val="superscript"/>
        <sz val="10"/>
        <rFont val="Arial"/>
        <family val="2"/>
      </rPr>
      <t>4</t>
    </r>
  </si>
  <si>
    <r>
      <t>Level 3 beds only</t>
    </r>
    <r>
      <rPr>
        <vertAlign val="superscript"/>
        <sz val="10"/>
        <rFont val="Arial"/>
        <family val="2"/>
      </rPr>
      <t>5</t>
    </r>
  </si>
  <si>
    <r>
      <t xml:space="preserve">4. Level 2 care </t>
    </r>
    <r>
      <rPr>
        <sz val="9"/>
        <rFont val="Calibri"/>
        <family val="2"/>
      </rPr>
      <t>–</t>
    </r>
    <r>
      <rPr>
        <sz val="9"/>
        <rFont val="Arial"/>
        <family val="2"/>
      </rPr>
      <t xml:space="preserve"> patients requiring more detailed observation or intervention including support for a single failing organ system or post-operative care and those 'stepping down' from higher levels of care.</t>
    </r>
  </si>
  <si>
    <r>
      <t xml:space="preserve">5. Level 3 care </t>
    </r>
    <r>
      <rPr>
        <sz val="9"/>
        <rFont val="Calibri"/>
        <family val="2"/>
      </rPr>
      <t>–</t>
    </r>
    <r>
      <rPr>
        <sz val="9"/>
        <rFont val="Arial"/>
        <family val="2"/>
      </rPr>
      <t xml:space="preserve"> patients needing advanced respiratory support alone or two or more organs system support. Please note that basic respiratory and basic cardiovascular support occurring on one day count as one organ. This level includes beds for all complex patients requiring support for multi-organ failure.</t>
    </r>
  </si>
  <si>
    <r>
      <t>Unit function</t>
    </r>
    <r>
      <rPr>
        <vertAlign val="superscript"/>
        <sz val="10"/>
        <rFont val="Arial"/>
        <family val="2"/>
      </rPr>
      <t>3</t>
    </r>
  </si>
  <si>
    <r>
      <t>Sex</t>
    </r>
    <r>
      <rPr>
        <vertAlign val="superscript"/>
        <sz val="10"/>
        <rFont val="Arial"/>
        <family val="2"/>
      </rPr>
      <t>4</t>
    </r>
  </si>
  <si>
    <r>
      <t>Start age</t>
    </r>
    <r>
      <rPr>
        <vertAlign val="superscript"/>
        <sz val="10"/>
        <rFont val="Arial"/>
        <family val="2"/>
      </rPr>
      <t>5</t>
    </r>
  </si>
  <si>
    <r>
      <t>Index of Multiple Deprivation (decile group)</t>
    </r>
    <r>
      <rPr>
        <vertAlign val="superscript"/>
        <sz val="10"/>
        <rFont val="Arial"/>
        <family val="2"/>
      </rPr>
      <t>5</t>
    </r>
  </si>
  <si>
    <t>5. Derived field in admitted patient care (APC) Data Set where the source field is mandatory.</t>
  </si>
  <si>
    <t>4. Mandatory field in admitted patient care (APC) Data Set.</t>
  </si>
  <si>
    <t>3. Mandatory field in Critical Care Minimum Data Set.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</si>
</sst>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3" formatCode="_-* #,##0.00_-;\-* #,##0.00_-;_-* &quot;-&quot;??_-;_-@_-"/>
    <numFmt numFmtId="164" formatCode="0.0%"/>
    <numFmt numFmtId="165" formatCode="_-* #,##0_-;\-* #,##0_-;_-* &quot;-&quot;??_-;_-@_-"/>
    <numFmt numFmtId="166" formatCode="0.0"/>
    <numFmt numFmtId="167" formatCode="#,##0.0"/>
    <numFmt numFmtId="168" formatCode="#,##0.000"/>
    <numFmt numFmtId="169" formatCode="#,##0_ ;\-#,##0\ "/>
    <numFmt numFmtId="170" formatCode="_-* #,##0.000_-;\-* #,##0.000_-;_-* &quot;-&quot;??_-;_-@_-"/>
    <numFmt numFmtId="171" formatCode="_-* #,##0.00000_-;\-* #,##0.00000_-;_-* &quot;-&quot;??_-;_-@_-"/>
  </numFmts>
  <fonts count="42" x14ac:knownFonts="1">
    <font>
      <sz val="11"/>
      <color theme="1"/>
      <name val="Calibri"/>
      <family val="2"/>
      <scheme val="minor"/>
    </font>
    <font>
      <sz val="11"/>
      <color theme="1"/>
      <name val="Arial"/>
      <family val="2"/>
    </font>
    <font>
      <sz val="11"/>
      <color theme="1"/>
      <name val="Arial"/>
      <family val="2"/>
    </font>
    <font>
      <sz val="11"/>
      <color theme="1"/>
      <name val="Calibri"/>
      <family val="2"/>
      <scheme val="minor"/>
    </font>
    <font>
      <sz val="10"/>
      <name val="Arial"/>
      <family val="2"/>
    </font>
    <font>
      <sz val="8"/>
      <name val="Arial"/>
      <family val="2"/>
    </font>
    <font>
      <b/>
      <sz val="8"/>
      <name val="Arial"/>
      <family val="2"/>
    </font>
    <font>
      <u/>
      <sz val="10"/>
      <color indexed="12"/>
      <name val="Arial"/>
      <family val="2"/>
    </font>
    <font>
      <b/>
      <sz val="10"/>
      <name val="Arial"/>
      <family val="2"/>
    </font>
    <font>
      <sz val="9"/>
      <name val="Arial"/>
      <family val="2"/>
    </font>
    <font>
      <sz val="10"/>
      <name val="Arial"/>
      <family val="2"/>
    </font>
    <font>
      <sz val="10"/>
      <color indexed="12"/>
      <name val="Arial"/>
      <family val="2"/>
    </font>
    <font>
      <i/>
      <sz val="10"/>
      <name val="Arial"/>
      <family val="2"/>
    </font>
    <font>
      <b/>
      <sz val="8"/>
      <color indexed="10"/>
      <name val="Arial"/>
      <family val="2"/>
    </font>
    <font>
      <i/>
      <sz val="9"/>
      <name val="Arial"/>
      <family val="2"/>
    </font>
    <font>
      <sz val="10"/>
      <color indexed="8"/>
      <name val="Arial"/>
      <family val="2"/>
    </font>
    <font>
      <sz val="10"/>
      <color theme="1"/>
      <name val="Arial"/>
      <family val="2"/>
    </font>
    <font>
      <b/>
      <sz val="14"/>
      <name val="Arial"/>
      <family val="2"/>
    </font>
    <font>
      <sz val="10"/>
      <color rgb="FFFF0000"/>
      <name val="Arial"/>
      <family val="2"/>
    </font>
    <font>
      <sz val="10"/>
      <color rgb="FF003360"/>
      <name val="Arial"/>
      <family val="2"/>
    </font>
    <font>
      <b/>
      <sz val="10"/>
      <color theme="1"/>
      <name val="Arial"/>
      <family val="2"/>
    </font>
    <font>
      <b/>
      <sz val="11"/>
      <color theme="1"/>
      <name val="Arial"/>
      <family val="2"/>
    </font>
    <font>
      <u/>
      <sz val="11"/>
      <color theme="10"/>
      <name val="Calibri"/>
      <family val="2"/>
    </font>
    <font>
      <u/>
      <sz val="10"/>
      <color indexed="30"/>
      <name val="Arial"/>
      <family val="2"/>
    </font>
    <font>
      <u/>
      <sz val="10"/>
      <color theme="10"/>
      <name val="Arial"/>
      <family val="2"/>
    </font>
    <font>
      <sz val="11"/>
      <color theme="1"/>
      <name val="Calibri"/>
      <family val="2"/>
    </font>
    <font>
      <u/>
      <sz val="12"/>
      <color rgb="FF004488"/>
      <name val="Arial"/>
      <family val="2"/>
    </font>
    <font>
      <sz val="12"/>
      <color indexed="8"/>
      <name val="Arial"/>
      <family val="2"/>
    </font>
    <font>
      <b/>
      <sz val="20"/>
      <color rgb="FF424D58"/>
      <name val="Arial"/>
      <family val="2"/>
    </font>
    <font>
      <b/>
      <sz val="27"/>
      <color rgb="FF005EB8"/>
      <name val="Arial"/>
      <family val="2"/>
    </font>
    <font>
      <sz val="9.5"/>
      <color rgb="FF000000"/>
      <name val="Arial"/>
      <family val="2"/>
    </font>
    <font>
      <sz val="9.5"/>
      <color rgb="FF000000"/>
      <name val="Arial"/>
      <family val="2"/>
    </font>
    <font>
      <u/>
      <sz val="10"/>
      <color rgb="FF0000FF"/>
      <name val="Arial"/>
      <family val="2"/>
    </font>
    <font>
      <b/>
      <sz val="14"/>
      <color rgb="FF005EB8"/>
      <name val="Arial"/>
      <family val="2"/>
    </font>
    <font>
      <b/>
      <vertAlign val="superscript"/>
      <sz val="14"/>
      <color rgb="FF005EB8"/>
      <name val="Arial"/>
      <family val="2"/>
    </font>
    <font>
      <sz val="9"/>
      <name val="Calibri"/>
      <family val="2"/>
    </font>
    <font>
      <sz val="9.5"/>
      <color rgb="FF000000"/>
      <name val="Arial"/>
      <family val="2"/>
    </font>
    <font>
      <sz val="9.5"/>
      <color rgb="FF000000"/>
      <name val="Arial"/>
      <family val="2"/>
    </font>
    <font>
      <sz val="10"/>
      <color rgb="FF000000"/>
      <name val="Arial"/>
      <family val="2"/>
    </font>
    <font>
      <sz val="11"/>
      <name val="Calibri"/>
      <family val="2"/>
    </font>
    <font>
      <sz val="9.5"/>
      <color rgb="FF000000"/>
      <name val="Arial"/>
      <family val="2"/>
    </font>
    <font>
      <vertAlign val="superscript"/>
      <sz val="10"/>
      <name val="Arial"/>
      <family val="2"/>
    </font>
  </fonts>
  <fills count="9">
    <fill>
      <patternFill patternType="none"/>
    </fill>
    <fill>
      <patternFill patternType="gray125"/>
    </fill>
    <fill>
      <patternFill patternType="solid">
        <fgColor indexed="9"/>
        <bgColor indexed="64"/>
      </patternFill>
    </fill>
    <fill>
      <patternFill patternType="solid">
        <fgColor rgb="FFFFFFFF"/>
        <bgColor rgb="FF000000"/>
      </patternFill>
    </fill>
    <fill>
      <patternFill patternType="solid">
        <fgColor theme="0"/>
        <bgColor indexed="64"/>
      </patternFill>
    </fill>
    <fill>
      <patternFill patternType="solid">
        <fgColor rgb="FFFFFFCC"/>
      </patternFill>
    </fill>
    <fill>
      <patternFill patternType="solid">
        <fgColor indexed="26"/>
      </patternFill>
    </fill>
    <fill>
      <patternFill patternType="solid">
        <fgColor rgb="FF005EB8"/>
        <bgColor indexed="64"/>
      </patternFill>
    </fill>
    <fill>
      <patternFill patternType="solid">
        <fgColor rgb="FF84919C"/>
        <bgColor indexed="64"/>
      </patternFill>
    </fill>
  </fills>
  <borders count="18">
    <border>
      <left/>
      <right/>
      <top/>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right style="thin">
        <color indexed="64"/>
      </right>
      <top style="thin">
        <color indexed="64"/>
      </top>
      <bottom style="thin">
        <color indexed="64"/>
      </bottom>
      <diagonal/>
    </border>
    <border>
      <left style="thin">
        <color rgb="FFB2B2B2"/>
      </left>
      <right style="thin">
        <color rgb="FFB2B2B2"/>
      </right>
      <top style="thin">
        <color rgb="FFB2B2B2"/>
      </top>
      <bottom style="thin">
        <color rgb="FFB2B2B2"/>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right style="thin">
        <color indexed="64"/>
      </right>
      <top/>
      <bottom/>
      <diagonal/>
    </border>
    <border>
      <left style="thin">
        <color indexed="64"/>
      </left>
      <right/>
      <top/>
      <bottom/>
      <diagonal/>
    </border>
    <border>
      <left style="thin">
        <color indexed="64"/>
      </left>
      <right/>
      <top style="thin">
        <color indexed="64"/>
      </top>
      <bottom style="thin">
        <color indexed="64"/>
      </bottom>
      <diagonal/>
    </border>
    <border>
      <left style="thin">
        <color indexed="22"/>
      </left>
      <right style="thin">
        <color indexed="22"/>
      </right>
      <top style="thin">
        <color indexed="22"/>
      </top>
      <bottom style="thin">
        <color indexed="22"/>
      </bottom>
      <diagonal/>
    </border>
  </borders>
  <cellStyleXfs count="46">
    <xf numFmtId="0" fontId="0" fillId="0" borderId="0"/>
    <xf numFmtId="0" fontId="4" fillId="0" borderId="0"/>
    <xf numFmtId="0" fontId="7" fillId="0" borderId="0" applyNumberFormat="0" applyFill="0" applyBorder="0" applyAlignment="0" applyProtection="0">
      <alignment vertical="top"/>
      <protection locked="0"/>
    </xf>
    <xf numFmtId="9" fontId="10" fillId="0" borderId="0" applyFont="0" applyFill="0" applyBorder="0" applyAlignment="0" applyProtection="0"/>
    <xf numFmtId="43" fontId="10" fillId="0" borderId="0" applyFont="0" applyFill="0" applyBorder="0" applyAlignment="0" applyProtection="0"/>
    <xf numFmtId="0" fontId="10" fillId="0" borderId="0"/>
    <xf numFmtId="0" fontId="10" fillId="0" borderId="0"/>
    <xf numFmtId="0" fontId="3" fillId="0" borderId="0"/>
    <xf numFmtId="9" fontId="3" fillId="0" borderId="0" applyFont="0" applyFill="0" applyBorder="0" applyAlignment="0" applyProtection="0"/>
    <xf numFmtId="9" fontId="4" fillId="0" borderId="0" applyFont="0" applyFill="0" applyBorder="0" applyAlignment="0" applyProtection="0"/>
    <xf numFmtId="43" fontId="3" fillId="0" borderId="0" applyFont="0" applyFill="0" applyBorder="0" applyAlignment="0" applyProtection="0"/>
    <xf numFmtId="9" fontId="4" fillId="0" borderId="0" applyFont="0" applyFill="0" applyBorder="0" applyAlignment="0" applyProtection="0"/>
    <xf numFmtId="0" fontId="22" fillId="0" borderId="0" applyNumberForma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0" fontId="24" fillId="0" borderId="0" applyNumberFormat="0" applyFill="0" applyBorder="0" applyAlignment="0" applyProtection="0"/>
    <xf numFmtId="0" fontId="4" fillId="0" borderId="0"/>
    <xf numFmtId="0" fontId="2" fillId="0" borderId="0"/>
    <xf numFmtId="0" fontId="2" fillId="0" borderId="0"/>
    <xf numFmtId="0" fontId="4" fillId="0" borderId="0"/>
    <xf numFmtId="9" fontId="2"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9" fontId="4" fillId="0" borderId="0" applyFont="0" applyFill="0" applyBorder="0" applyAlignment="0" applyProtection="0"/>
    <xf numFmtId="9" fontId="25" fillId="0" borderId="0" applyFont="0" applyFill="0" applyBorder="0" applyAlignment="0" applyProtection="0"/>
    <xf numFmtId="0" fontId="23" fillId="0" borderId="0" applyNumberFormat="0" applyFill="0" applyBorder="0" applyAlignment="0" applyProtection="0">
      <alignment vertical="top"/>
      <protection locked="0"/>
    </xf>
    <xf numFmtId="0" fontId="26" fillId="0" borderId="0" applyNumberFormat="0" applyFill="0" applyBorder="0" applyAlignment="0" applyProtection="0"/>
    <xf numFmtId="0" fontId="27" fillId="5" borderId="5" applyNumberFormat="0" applyFont="0" applyAlignment="0" applyProtection="0"/>
    <xf numFmtId="0" fontId="27" fillId="6" borderId="17" applyNumberFormat="0" applyFont="0" applyAlignment="0" applyProtection="0"/>
    <xf numFmtId="0" fontId="30" fillId="0" borderId="0"/>
    <xf numFmtId="0" fontId="31" fillId="0" borderId="0"/>
    <xf numFmtId="0" fontId="36" fillId="0" borderId="0"/>
    <xf numFmtId="0" fontId="37" fillId="0" borderId="0"/>
    <xf numFmtId="43" fontId="4" fillId="0" borderId="0" applyFont="0" applyFill="0" applyBorder="0" applyAlignment="0" applyProtection="0"/>
    <xf numFmtId="0" fontId="4" fillId="0" borderId="0"/>
    <xf numFmtId="43" fontId="3"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0" fontId="1" fillId="0" borderId="0"/>
    <xf numFmtId="0" fontId="1" fillId="0" borderId="0"/>
    <xf numFmtId="0" fontId="30" fillId="0" borderId="0"/>
    <xf numFmtId="9" fontId="1" fillId="0" borderId="0" applyFont="0" applyFill="0" applyBorder="0" applyAlignment="0" applyProtection="0"/>
    <xf numFmtId="9" fontId="1" fillId="0" borderId="0" applyFont="0" applyFill="0" applyBorder="0" applyAlignment="0" applyProtection="0"/>
    <xf numFmtId="0" fontId="30" fillId="0" borderId="0"/>
    <xf numFmtId="0" fontId="30" fillId="0" borderId="0"/>
    <xf numFmtId="0" fontId="40" fillId="0" borderId="0"/>
  </cellStyleXfs>
  <cellXfs count="397">
    <xf numFmtId="0" fontId="0" fillId="0" borderId="0" xfId="0"/>
    <xf numFmtId="0" fontId="4" fillId="2" borderId="0" xfId="1" applyFill="1"/>
    <xf numFmtId="0" fontId="8" fillId="2" borderId="0" xfId="1" applyFont="1" applyFill="1"/>
    <xf numFmtId="164" fontId="8" fillId="0" borderId="0" xfId="3" applyNumberFormat="1" applyFont="1" applyBorder="1" applyAlignment="1">
      <alignment horizontal="right" indent="3"/>
    </xf>
    <xf numFmtId="3" fontId="8" fillId="0" borderId="0" xfId="1" applyNumberFormat="1" applyFont="1" applyAlignment="1">
      <alignment horizontal="right" indent="3"/>
    </xf>
    <xf numFmtId="164" fontId="8" fillId="0" borderId="0" xfId="3" applyNumberFormat="1" applyFont="1" applyBorder="1" applyAlignment="1">
      <alignment horizontal="center"/>
    </xf>
    <xf numFmtId="3" fontId="8" fillId="0" borderId="0" xfId="1" applyNumberFormat="1" applyFont="1" applyAlignment="1">
      <alignment horizontal="center"/>
    </xf>
    <xf numFmtId="0" fontId="4" fillId="0" borderId="0" xfId="1"/>
    <xf numFmtId="0" fontId="11" fillId="0" borderId="0" xfId="1" applyFont="1"/>
    <xf numFmtId="0" fontId="12" fillId="0" borderId="0" xfId="1" applyFont="1"/>
    <xf numFmtId="0" fontId="4" fillId="2" borderId="0" xfId="1" applyFill="1" applyAlignment="1">
      <alignment vertical="center" wrapText="1"/>
    </xf>
    <xf numFmtId="0" fontId="14" fillId="2" borderId="0" xfId="1" applyFont="1" applyFill="1" applyAlignment="1">
      <alignment wrapText="1"/>
    </xf>
    <xf numFmtId="0" fontId="8" fillId="0" borderId="0" xfId="1" applyFont="1" applyAlignment="1">
      <alignment vertical="center"/>
    </xf>
    <xf numFmtId="0" fontId="8" fillId="0" borderId="0" xfId="1" applyFont="1" applyAlignment="1">
      <alignment horizontal="left"/>
    </xf>
    <xf numFmtId="164" fontId="8" fillId="0" borderId="0" xfId="3" applyNumberFormat="1" applyFont="1" applyBorder="1" applyAlignment="1">
      <alignment horizontal="right" vertical="center" indent="3"/>
    </xf>
    <xf numFmtId="3" fontId="8" fillId="0" borderId="0" xfId="1" applyNumberFormat="1" applyFont="1" applyAlignment="1">
      <alignment horizontal="right" vertical="center" indent="3"/>
    </xf>
    <xf numFmtId="0" fontId="8" fillId="2" borderId="0" xfId="1" applyFont="1" applyFill="1" applyAlignment="1">
      <alignment wrapText="1"/>
    </xf>
    <xf numFmtId="0" fontId="4" fillId="2" borderId="0" xfId="1" applyFill="1" applyAlignment="1">
      <alignment wrapText="1"/>
    </xf>
    <xf numFmtId="0" fontId="8" fillId="0" borderId="0" xfId="1" applyFont="1" applyAlignment="1">
      <alignment horizontal="left" wrapText="1"/>
    </xf>
    <xf numFmtId="0" fontId="8" fillId="0" borderId="0" xfId="1" applyFont="1" applyAlignment="1">
      <alignment horizontal="left" vertical="center" wrapText="1"/>
    </xf>
    <xf numFmtId="0" fontId="8" fillId="2" borderId="0" xfId="1" applyFont="1" applyFill="1" applyAlignment="1">
      <alignment horizontal="left"/>
    </xf>
    <xf numFmtId="166" fontId="4" fillId="2" borderId="0" xfId="1" applyNumberFormat="1" applyFill="1"/>
    <xf numFmtId="166" fontId="10" fillId="2" borderId="0" xfId="1" applyNumberFormat="1" applyFont="1" applyFill="1"/>
    <xf numFmtId="164" fontId="8" fillId="0" borderId="0" xfId="3" applyNumberFormat="1" applyFont="1" applyFill="1" applyBorder="1" applyAlignment="1">
      <alignment horizontal="center"/>
    </xf>
    <xf numFmtId="0" fontId="8" fillId="0" borderId="0" xfId="1" applyFont="1"/>
    <xf numFmtId="164" fontId="8" fillId="0" borderId="0" xfId="3" applyNumberFormat="1" applyFont="1" applyBorder="1" applyAlignment="1">
      <alignment horizontal="center" vertical="center"/>
    </xf>
    <xf numFmtId="3" fontId="8" fillId="0" borderId="0" xfId="1" applyNumberFormat="1" applyFont="1" applyAlignment="1">
      <alignment horizontal="center" vertical="center"/>
    </xf>
    <xf numFmtId="0" fontId="8" fillId="2" borderId="0" xfId="1" applyFont="1" applyFill="1" applyAlignment="1">
      <alignment vertical="center" wrapText="1"/>
    </xf>
    <xf numFmtId="0" fontId="8" fillId="2" borderId="0" xfId="1" applyFont="1" applyFill="1" applyAlignment="1">
      <alignment vertical="center"/>
    </xf>
    <xf numFmtId="3" fontId="4" fillId="0" borderId="0" xfId="1" applyNumberFormat="1" applyAlignment="1">
      <alignment horizontal="center"/>
    </xf>
    <xf numFmtId="3" fontId="4" fillId="0" borderId="0" xfId="1" applyNumberFormat="1" applyAlignment="1">
      <alignment horizontal="right" indent="6"/>
    </xf>
    <xf numFmtId="164" fontId="4" fillId="2" borderId="0" xfId="8" applyNumberFormat="1" applyFont="1" applyFill="1"/>
    <xf numFmtId="164" fontId="8" fillId="0" borderId="0" xfId="9" applyNumberFormat="1" applyFont="1" applyBorder="1" applyAlignment="1">
      <alignment horizontal="center"/>
    </xf>
    <xf numFmtId="0" fontId="17" fillId="0" borderId="0" xfId="1" applyFont="1"/>
    <xf numFmtId="0" fontId="9" fillId="2" borderId="0" xfId="1" applyFont="1" applyFill="1" applyAlignment="1">
      <alignment horizontal="left"/>
    </xf>
    <xf numFmtId="0" fontId="4" fillId="2" borderId="0" xfId="1" applyFill="1" applyAlignment="1">
      <alignment horizontal="left"/>
    </xf>
    <xf numFmtId="0" fontId="19" fillId="0" borderId="0" xfId="1" applyFont="1"/>
    <xf numFmtId="0" fontId="8" fillId="0" borderId="0" xfId="1" applyFont="1" applyAlignment="1">
      <alignment wrapText="1"/>
    </xf>
    <xf numFmtId="164" fontId="0" fillId="0" borderId="0" xfId="11" applyNumberFormat="1" applyFont="1" applyBorder="1" applyAlignment="1">
      <alignment horizontal="center"/>
    </xf>
    <xf numFmtId="0" fontId="7" fillId="2" borderId="0" xfId="2" applyFill="1" applyAlignment="1" applyProtection="1"/>
    <xf numFmtId="3" fontId="8" fillId="0" borderId="0" xfId="1" applyNumberFormat="1" applyFont="1" applyAlignment="1">
      <alignment vertical="center"/>
    </xf>
    <xf numFmtId="166" fontId="8" fillId="0" borderId="0" xfId="1" applyNumberFormat="1" applyFont="1" applyAlignment="1">
      <alignment vertical="center"/>
    </xf>
    <xf numFmtId="3" fontId="8" fillId="0" borderId="0" xfId="1" applyNumberFormat="1" applyFont="1" applyAlignment="1">
      <alignment horizontal="right" vertical="center" indent="1"/>
    </xf>
    <xf numFmtId="166" fontId="8" fillId="0" borderId="0" xfId="1" applyNumberFormat="1" applyFont="1" applyAlignment="1">
      <alignment horizontal="right" vertical="center" indent="2"/>
    </xf>
    <xf numFmtId="0" fontId="4" fillId="0" borderId="0" xfId="1" applyAlignment="1">
      <alignment vertical="center" wrapText="1"/>
    </xf>
    <xf numFmtId="0" fontId="13" fillId="0" borderId="0" xfId="1" applyFont="1"/>
    <xf numFmtId="0" fontId="5" fillId="0" borderId="0" xfId="1" applyFont="1" applyAlignment="1">
      <alignment vertical="center" wrapText="1"/>
    </xf>
    <xf numFmtId="3" fontId="5" fillId="0" borderId="0" xfId="1" applyNumberFormat="1" applyFont="1" applyAlignment="1">
      <alignment horizontal="center"/>
    </xf>
    <xf numFmtId="0" fontId="5" fillId="0" borderId="0" xfId="1" applyFont="1"/>
    <xf numFmtId="0" fontId="6" fillId="0" borderId="0" xfId="1" applyFont="1" applyAlignment="1">
      <alignment vertical="center" wrapText="1"/>
    </xf>
    <xf numFmtId="0" fontId="5" fillId="0" borderId="0" xfId="1" applyFont="1" applyAlignment="1">
      <alignment vertical="center"/>
    </xf>
    <xf numFmtId="0" fontId="8" fillId="2" borderId="1" xfId="1" applyFont="1" applyFill="1" applyBorder="1" applyAlignment="1">
      <alignment horizontal="left" vertical="center" wrapText="1"/>
    </xf>
    <xf numFmtId="0" fontId="8" fillId="2" borderId="12" xfId="1" applyFont="1" applyFill="1" applyBorder="1" applyAlignment="1">
      <alignment horizontal="left"/>
    </xf>
    <xf numFmtId="3" fontId="8" fillId="2" borderId="13" xfId="1" applyNumberFormat="1" applyFont="1" applyFill="1" applyBorder="1" applyAlignment="1">
      <alignment horizontal="center" vertical="center" wrapText="1"/>
    </xf>
    <xf numFmtId="0" fontId="8" fillId="2" borderId="13" xfId="1" applyFont="1" applyFill="1" applyBorder="1" applyAlignment="1">
      <alignment horizontal="center" vertical="center" wrapText="1"/>
    </xf>
    <xf numFmtId="0" fontId="8" fillId="2" borderId="4" xfId="1" applyFont="1" applyFill="1" applyBorder="1" applyAlignment="1">
      <alignment horizontal="center" vertical="center" wrapText="1"/>
    </xf>
    <xf numFmtId="3" fontId="8" fillId="2" borderId="7" xfId="1" applyNumberFormat="1" applyFont="1" applyFill="1" applyBorder="1" applyAlignment="1">
      <alignment horizontal="center" vertical="center" wrapText="1"/>
    </xf>
    <xf numFmtId="0" fontId="8" fillId="2" borderId="8" xfId="1" applyFont="1" applyFill="1" applyBorder="1" applyAlignment="1">
      <alignment horizontal="center" vertical="center" wrapText="1"/>
    </xf>
    <xf numFmtId="164" fontId="8" fillId="0" borderId="11" xfId="9" applyNumberFormat="1" applyFont="1" applyBorder="1" applyAlignment="1">
      <alignment horizontal="right" vertical="center"/>
    </xf>
    <xf numFmtId="0" fontId="8" fillId="2" borderId="2" xfId="1" applyFont="1" applyFill="1" applyBorder="1" applyAlignment="1">
      <alignment horizontal="left" vertical="center" wrapText="1"/>
    </xf>
    <xf numFmtId="0" fontId="8" fillId="2" borderId="2" xfId="1" applyFont="1" applyFill="1" applyBorder="1" applyAlignment="1">
      <alignment horizontal="left"/>
    </xf>
    <xf numFmtId="3" fontId="8" fillId="2" borderId="6" xfId="1" applyNumberFormat="1" applyFont="1" applyFill="1" applyBorder="1" applyAlignment="1">
      <alignment horizontal="center" vertical="center" wrapText="1"/>
    </xf>
    <xf numFmtId="3" fontId="4" fillId="0" borderId="6" xfId="1" applyNumberFormat="1" applyBorder="1" applyAlignment="1">
      <alignment horizontal="right" vertical="center"/>
    </xf>
    <xf numFmtId="3" fontId="4" fillId="0" borderId="15" xfId="1" applyNumberFormat="1" applyBorder="1" applyAlignment="1">
      <alignment horizontal="right" vertical="center"/>
    </xf>
    <xf numFmtId="3" fontId="4" fillId="0" borderId="9" xfId="1" applyNumberFormat="1" applyBorder="1" applyAlignment="1">
      <alignment horizontal="right" vertical="center"/>
    </xf>
    <xf numFmtId="3" fontId="8" fillId="0" borderId="9" xfId="1" applyNumberFormat="1" applyFont="1" applyBorder="1" applyAlignment="1">
      <alignment horizontal="right" vertical="center"/>
    </xf>
    <xf numFmtId="3" fontId="8" fillId="2" borderId="16" xfId="1" applyNumberFormat="1" applyFont="1" applyFill="1" applyBorder="1" applyAlignment="1">
      <alignment horizontal="center" vertical="center" wrapText="1"/>
    </xf>
    <xf numFmtId="164" fontId="8" fillId="0" borderId="11" xfId="3" applyNumberFormat="1" applyFont="1" applyBorder="1" applyAlignment="1">
      <alignment horizontal="right"/>
    </xf>
    <xf numFmtId="164" fontId="16" fillId="0" borderId="11" xfId="3" applyNumberFormat="1" applyFont="1" applyBorder="1" applyAlignment="1">
      <alignment horizontal="right"/>
    </xf>
    <xf numFmtId="0" fontId="8" fillId="4" borderId="0" xfId="7" applyFont="1" applyFill="1"/>
    <xf numFmtId="10" fontId="16" fillId="4" borderId="0" xfId="11" applyNumberFormat="1" applyFont="1" applyFill="1" applyBorder="1"/>
    <xf numFmtId="0" fontId="16" fillId="4" borderId="0" xfId="7" applyFont="1" applyFill="1"/>
    <xf numFmtId="0" fontId="2" fillId="4" borderId="0" xfId="0" applyFont="1" applyFill="1"/>
    <xf numFmtId="0" fontId="21" fillId="4" borderId="0" xfId="0" applyFont="1" applyFill="1"/>
    <xf numFmtId="0" fontId="8" fillId="0" borderId="12" xfId="1" applyFont="1" applyBorder="1" applyAlignment="1">
      <alignment horizontal="left" wrapText="1"/>
    </xf>
    <xf numFmtId="0" fontId="8" fillId="2" borderId="2" xfId="1" applyFont="1" applyFill="1" applyBorder="1" applyAlignment="1">
      <alignment horizontal="left" vertical="center"/>
    </xf>
    <xf numFmtId="164" fontId="16" fillId="0" borderId="11" xfId="3" applyNumberFormat="1" applyFont="1" applyBorder="1" applyAlignment="1">
      <alignment horizontal="right" vertical="center"/>
    </xf>
    <xf numFmtId="164" fontId="16" fillId="0" borderId="8" xfId="3" applyNumberFormat="1" applyFont="1" applyBorder="1" applyAlignment="1">
      <alignment horizontal="right" vertical="center"/>
    </xf>
    <xf numFmtId="164" fontId="16" fillId="0" borderId="14" xfId="3" applyNumberFormat="1" applyFont="1" applyBorder="1" applyAlignment="1">
      <alignment horizontal="right" vertical="center"/>
    </xf>
    <xf numFmtId="164" fontId="8" fillId="0" borderId="11" xfId="3" applyNumberFormat="1" applyFont="1" applyBorder="1" applyAlignment="1">
      <alignment horizontal="right" vertical="center"/>
    </xf>
    <xf numFmtId="0" fontId="8" fillId="0" borderId="12" xfId="1" applyFont="1" applyBorder="1" applyAlignment="1">
      <alignment horizontal="left" vertical="center"/>
    </xf>
    <xf numFmtId="0" fontId="8" fillId="0" borderId="9" xfId="1" applyFont="1" applyBorder="1" applyAlignment="1">
      <alignment horizontal="left" vertical="center" wrapText="1"/>
    </xf>
    <xf numFmtId="0" fontId="8" fillId="2" borderId="9" xfId="1" applyFont="1" applyFill="1" applyBorder="1" applyAlignment="1">
      <alignment horizontal="center"/>
    </xf>
    <xf numFmtId="0" fontId="8" fillId="2" borderId="10" xfId="1" applyFont="1" applyFill="1" applyBorder="1" applyAlignment="1">
      <alignment horizontal="left"/>
    </xf>
    <xf numFmtId="0" fontId="18" fillId="2" borderId="9" xfId="1" applyFont="1" applyFill="1" applyBorder="1" applyAlignment="1">
      <alignment horizontal="center" vertical="center"/>
    </xf>
    <xf numFmtId="0" fontId="4" fillId="2" borderId="3" xfId="1" applyFill="1" applyBorder="1" applyAlignment="1">
      <alignment horizontal="left"/>
    </xf>
    <xf numFmtId="0" fontId="4" fillId="0" borderId="0" xfId="1" applyAlignment="1">
      <alignment horizontal="left"/>
    </xf>
    <xf numFmtId="0" fontId="4" fillId="0" borderId="15" xfId="1" applyBorder="1" applyAlignment="1">
      <alignment horizontal="left"/>
    </xf>
    <xf numFmtId="0" fontId="8" fillId="0" borderId="9" xfId="1" applyFont="1" applyBorder="1" applyAlignment="1">
      <alignment horizontal="left"/>
    </xf>
    <xf numFmtId="0" fontId="8" fillId="2" borderId="9" xfId="1" applyFont="1" applyFill="1" applyBorder="1" applyAlignment="1">
      <alignment horizontal="left" vertical="center" wrapText="1"/>
    </xf>
    <xf numFmtId="0" fontId="4" fillId="3" borderId="15" xfId="1" applyFill="1" applyBorder="1" applyAlignment="1">
      <alignment wrapText="1"/>
    </xf>
    <xf numFmtId="0" fontId="4" fillId="3" borderId="9" xfId="1" applyFill="1" applyBorder="1" applyAlignment="1">
      <alignment wrapText="1"/>
    </xf>
    <xf numFmtId="0" fontId="8" fillId="2" borderId="16" xfId="1" applyFont="1" applyFill="1" applyBorder="1" applyAlignment="1">
      <alignment horizontal="left" vertical="center" wrapText="1"/>
    </xf>
    <xf numFmtId="0" fontId="8" fillId="2" borderId="16" xfId="1" applyFont="1" applyFill="1" applyBorder="1" applyAlignment="1">
      <alignment horizontal="center" vertical="center" wrapText="1"/>
    </xf>
    <xf numFmtId="0" fontId="8" fillId="0" borderId="16" xfId="1" applyFont="1" applyBorder="1"/>
    <xf numFmtId="165" fontId="16" fillId="0" borderId="0" xfId="10" applyNumberFormat="1" applyFont="1" applyBorder="1"/>
    <xf numFmtId="0" fontId="4" fillId="2" borderId="15" xfId="1" applyFill="1" applyBorder="1" applyAlignment="1">
      <alignment horizontal="center"/>
    </xf>
    <xf numFmtId="0" fontId="28" fillId="4" borderId="0" xfId="0" applyFont="1" applyFill="1" applyAlignment="1">
      <alignment horizontal="left"/>
    </xf>
    <xf numFmtId="0" fontId="4" fillId="7" borderId="0" xfId="1" applyFill="1"/>
    <xf numFmtId="0" fontId="4" fillId="8" borderId="0" xfId="1" applyFill="1"/>
    <xf numFmtId="165" fontId="20" fillId="0" borderId="16" xfId="10" applyNumberFormat="1" applyFont="1" applyBorder="1"/>
    <xf numFmtId="164" fontId="4" fillId="2" borderId="8" xfId="8" applyNumberFormat="1" applyFont="1" applyFill="1" applyBorder="1"/>
    <xf numFmtId="164" fontId="4" fillId="2" borderId="14" xfId="8" applyNumberFormat="1" applyFont="1" applyFill="1" applyBorder="1"/>
    <xf numFmtId="165" fontId="16" fillId="0" borderId="6" xfId="10" applyNumberFormat="1" applyFont="1" applyBorder="1"/>
    <xf numFmtId="165" fontId="16" fillId="0" borderId="15" xfId="10" applyNumberFormat="1" applyFont="1" applyBorder="1"/>
    <xf numFmtId="165" fontId="16" fillId="0" borderId="9" xfId="10" applyNumberFormat="1" applyFont="1" applyBorder="1"/>
    <xf numFmtId="164" fontId="4" fillId="2" borderId="11" xfId="8" applyNumberFormat="1" applyFont="1" applyFill="1" applyBorder="1"/>
    <xf numFmtId="164" fontId="8" fillId="2" borderId="4" xfId="8" applyNumberFormat="1" applyFont="1" applyFill="1" applyBorder="1"/>
    <xf numFmtId="165" fontId="4" fillId="2" borderId="6" xfId="10" applyNumberFormat="1" applyFont="1" applyFill="1" applyBorder="1"/>
    <xf numFmtId="165" fontId="4" fillId="2" borderId="15" xfId="10" applyNumberFormat="1" applyFont="1" applyFill="1" applyBorder="1"/>
    <xf numFmtId="165" fontId="4" fillId="2" borderId="7" xfId="10" applyNumberFormat="1" applyFont="1" applyFill="1" applyBorder="1"/>
    <xf numFmtId="165" fontId="4" fillId="2" borderId="0" xfId="10" applyNumberFormat="1" applyFont="1" applyFill="1" applyBorder="1"/>
    <xf numFmtId="165" fontId="8" fillId="2" borderId="16" xfId="10" applyNumberFormat="1" applyFont="1" applyFill="1" applyBorder="1"/>
    <xf numFmtId="165" fontId="8" fillId="2" borderId="13" xfId="10" applyNumberFormat="1" applyFont="1" applyFill="1" applyBorder="1"/>
    <xf numFmtId="167" fontId="8" fillId="0" borderId="4" xfId="1" applyNumberFormat="1" applyFont="1" applyBorder="1" applyAlignment="1">
      <alignment vertical="center"/>
    </xf>
    <xf numFmtId="164" fontId="16" fillId="0" borderId="14" xfId="3" applyNumberFormat="1" applyFont="1" applyBorder="1" applyAlignment="1">
      <alignment horizontal="right"/>
    </xf>
    <xf numFmtId="0" fontId="8" fillId="0" borderId="0" xfId="7" applyFont="1"/>
    <xf numFmtId="10" fontId="16" fillId="0" borderId="0" xfId="11" applyNumberFormat="1" applyFont="1" applyFill="1" applyBorder="1"/>
    <xf numFmtId="0" fontId="4" fillId="0" borderId="0" xfId="1" applyAlignment="1">
      <alignment horizontal="right"/>
    </xf>
    <xf numFmtId="3" fontId="5" fillId="0" borderId="0" xfId="1" applyNumberFormat="1" applyFont="1" applyAlignment="1">
      <alignment horizontal="right"/>
    </xf>
    <xf numFmtId="3" fontId="8" fillId="0" borderId="0" xfId="1" applyNumberFormat="1" applyFont="1" applyAlignment="1">
      <alignment horizontal="right"/>
    </xf>
    <xf numFmtId="10" fontId="16" fillId="0" borderId="0" xfId="11" applyNumberFormat="1" applyFont="1" applyFill="1" applyBorder="1" applyAlignment="1">
      <alignment horizontal="right"/>
    </xf>
    <xf numFmtId="0" fontId="12" fillId="0" borderId="0" xfId="1" applyFont="1" applyAlignment="1">
      <alignment horizontal="right"/>
    </xf>
    <xf numFmtId="0" fontId="8" fillId="0" borderId="0" xfId="1" applyFont="1" applyAlignment="1">
      <alignment horizontal="right"/>
    </xf>
    <xf numFmtId="3" fontId="6" fillId="0" borderId="0" xfId="1" applyNumberFormat="1" applyFont="1" applyAlignment="1">
      <alignment horizontal="right"/>
    </xf>
    <xf numFmtId="0" fontId="16" fillId="0" borderId="0" xfId="7" applyFont="1" applyAlignment="1">
      <alignment horizontal="right"/>
    </xf>
    <xf numFmtId="0" fontId="4" fillId="0" borderId="1" xfId="1" applyBorder="1" applyAlignment="1">
      <alignment horizontal="left" wrapText="1"/>
    </xf>
    <xf numFmtId="0" fontId="4" fillId="2" borderId="0" xfId="1" applyFill="1" applyAlignment="1">
      <alignment horizontal="left" vertical="center"/>
    </xf>
    <xf numFmtId="0" fontId="20" fillId="2" borderId="0" xfId="1" applyFont="1" applyFill="1" applyAlignment="1">
      <alignment horizontal="left"/>
    </xf>
    <xf numFmtId="0" fontId="8" fillId="2" borderId="13" xfId="1" applyFont="1" applyFill="1" applyBorder="1" applyAlignment="1">
      <alignment horizontal="center" vertical="center"/>
    </xf>
    <xf numFmtId="0" fontId="8" fillId="2" borderId="16" xfId="1" applyFont="1" applyFill="1" applyBorder="1" applyAlignment="1">
      <alignment horizontal="left" vertical="center"/>
    </xf>
    <xf numFmtId="3" fontId="4" fillId="0" borderId="0" xfId="1" applyNumberFormat="1" applyAlignment="1">
      <alignment horizontal="right"/>
    </xf>
    <xf numFmtId="0" fontId="4" fillId="2" borderId="0" xfId="1" applyFill="1" applyAlignment="1">
      <alignment vertical="top" wrapText="1"/>
    </xf>
    <xf numFmtId="0" fontId="33" fillId="2" borderId="0" xfId="1" applyFont="1" applyFill="1" applyAlignment="1">
      <alignment vertical="center"/>
    </xf>
    <xf numFmtId="0" fontId="33" fillId="0" borderId="0" xfId="1" applyFont="1" applyAlignment="1">
      <alignment vertical="center"/>
    </xf>
    <xf numFmtId="0" fontId="4" fillId="2" borderId="1" xfId="1" applyFill="1" applyBorder="1" applyAlignment="1">
      <alignment horizontal="left"/>
    </xf>
    <xf numFmtId="0" fontId="4" fillId="2" borderId="12" xfId="1" applyFill="1" applyBorder="1" applyAlignment="1">
      <alignment horizontal="left"/>
    </xf>
    <xf numFmtId="0" fontId="8" fillId="0" borderId="16" xfId="1" applyFont="1" applyBorder="1" applyAlignment="1">
      <alignment horizontal="left" wrapText="1"/>
    </xf>
    <xf numFmtId="0" fontId="8" fillId="0" borderId="16" xfId="1" applyFont="1" applyBorder="1" applyAlignment="1">
      <alignment horizontal="left"/>
    </xf>
    <xf numFmtId="0" fontId="4" fillId="0" borderId="3" xfId="1" applyBorder="1" applyAlignment="1">
      <alignment horizontal="left"/>
    </xf>
    <xf numFmtId="0" fontId="4" fillId="0" borderId="12" xfId="1" applyBorder="1"/>
    <xf numFmtId="0" fontId="4" fillId="0" borderId="3" xfId="1" applyBorder="1" applyAlignment="1">
      <alignment horizontal="left" wrapText="1"/>
    </xf>
    <xf numFmtId="0" fontId="4" fillId="0" borderId="1" xfId="1" applyBorder="1" applyAlignment="1">
      <alignment horizontal="left" vertical="center"/>
    </xf>
    <xf numFmtId="0" fontId="4" fillId="0" borderId="3" xfId="1" applyBorder="1" applyAlignment="1">
      <alignment horizontal="left" vertical="center"/>
    </xf>
    <xf numFmtId="0" fontId="4" fillId="0" borderId="12" xfId="1" applyBorder="1" applyAlignment="1">
      <alignment horizontal="left"/>
    </xf>
    <xf numFmtId="0" fontId="4" fillId="0" borderId="15" xfId="1" applyBorder="1" applyAlignment="1">
      <alignment horizontal="left" vertical="center" wrapText="1"/>
    </xf>
    <xf numFmtId="0" fontId="4" fillId="0" borderId="9" xfId="1" applyBorder="1"/>
    <xf numFmtId="0" fontId="4" fillId="2" borderId="15" xfId="1" applyFill="1" applyBorder="1" applyAlignment="1">
      <alignment horizontal="center" vertical="center"/>
    </xf>
    <xf numFmtId="0" fontId="4" fillId="2" borderId="0" xfId="1" applyFill="1" applyAlignment="1">
      <alignment horizontal="left" vertical="center" wrapText="1"/>
    </xf>
    <xf numFmtId="0" fontId="4" fillId="0" borderId="10" xfId="1" applyBorder="1" applyAlignment="1">
      <alignment horizontal="left"/>
    </xf>
    <xf numFmtId="0" fontId="4" fillId="0" borderId="9" xfId="1" applyBorder="1" applyAlignment="1">
      <alignment horizontal="left"/>
    </xf>
    <xf numFmtId="0" fontId="4" fillId="2" borderId="15" xfId="1" applyFill="1" applyBorder="1" applyAlignment="1">
      <alignment horizontal="left" vertical="center" wrapText="1"/>
    </xf>
    <xf numFmtId="0" fontId="16" fillId="4" borderId="0" xfId="0" applyFont="1" applyFill="1"/>
    <xf numFmtId="0" fontId="5" fillId="0" borderId="0" xfId="1" applyFont="1" applyAlignment="1">
      <alignment wrapText="1"/>
    </xf>
    <xf numFmtId="0" fontId="20" fillId="0" borderId="2" xfId="1" applyFont="1" applyBorder="1" applyAlignment="1">
      <alignment horizontal="left" wrapText="1"/>
    </xf>
    <xf numFmtId="0" fontId="16" fillId="4" borderId="0" xfId="0" applyFont="1" applyFill="1" applyAlignment="1">
      <alignment vertical="top"/>
    </xf>
    <xf numFmtId="0" fontId="20" fillId="4" borderId="0" xfId="0" applyFont="1" applyFill="1"/>
    <xf numFmtId="0" fontId="7" fillId="4" borderId="0" xfId="2" applyFill="1" applyAlignment="1" applyProtection="1"/>
    <xf numFmtId="165" fontId="20" fillId="0" borderId="0" xfId="10" applyNumberFormat="1" applyFont="1" applyFill="1" applyBorder="1" applyAlignment="1">
      <alignment horizontal="right"/>
    </xf>
    <xf numFmtId="165" fontId="4" fillId="2" borderId="0" xfId="10" applyNumberFormat="1" applyFont="1" applyFill="1"/>
    <xf numFmtId="165" fontId="4" fillId="2" borderId="0" xfId="10" applyNumberFormat="1" applyFont="1" applyFill="1" applyAlignment="1"/>
    <xf numFmtId="2" fontId="4" fillId="2" borderId="0" xfId="1" applyNumberFormat="1" applyFill="1"/>
    <xf numFmtId="0" fontId="4" fillId="0" borderId="15" xfId="1" applyBorder="1" applyAlignment="1">
      <alignment vertical="center" wrapText="1"/>
    </xf>
    <xf numFmtId="0" fontId="4" fillId="0" borderId="0" xfId="1" applyAlignment="1">
      <alignment vertical="center"/>
    </xf>
    <xf numFmtId="0" fontId="4" fillId="0" borderId="15" xfId="1" applyBorder="1" applyAlignment="1">
      <alignment vertical="center"/>
    </xf>
    <xf numFmtId="165" fontId="8" fillId="0" borderId="4" xfId="10" applyNumberFormat="1" applyFont="1" applyBorder="1" applyAlignment="1">
      <alignment horizontal="right" vertical="center"/>
    </xf>
    <xf numFmtId="0" fontId="7" fillId="0" borderId="0" xfId="2" applyAlignment="1" applyProtection="1">
      <alignment horizontal="left"/>
    </xf>
    <xf numFmtId="3" fontId="4" fillId="2" borderId="6" xfId="8" applyNumberFormat="1" applyFont="1" applyFill="1" applyBorder="1"/>
    <xf numFmtId="3" fontId="4" fillId="2" borderId="15" xfId="8" applyNumberFormat="1" applyFont="1" applyFill="1" applyBorder="1"/>
    <xf numFmtId="3" fontId="4" fillId="2" borderId="9" xfId="8" applyNumberFormat="1" applyFont="1" applyFill="1" applyBorder="1"/>
    <xf numFmtId="3" fontId="8" fillId="2" borderId="16" xfId="8" applyNumberFormat="1" applyFont="1" applyFill="1" applyBorder="1"/>
    <xf numFmtId="164" fontId="4" fillId="2" borderId="8" xfId="8" applyNumberFormat="1" applyFont="1" applyFill="1" applyBorder="1" applyAlignment="1">
      <alignment horizontal="right"/>
    </xf>
    <xf numFmtId="164" fontId="4" fillId="2" borderId="0" xfId="8" applyNumberFormat="1" applyFont="1" applyFill="1" applyBorder="1"/>
    <xf numFmtId="164" fontId="4" fillId="2" borderId="14" xfId="8" applyNumberFormat="1" applyFont="1" applyFill="1" applyBorder="1" applyAlignment="1">
      <alignment horizontal="right"/>
    </xf>
    <xf numFmtId="164" fontId="4" fillId="2" borderId="11" xfId="8" applyNumberFormat="1" applyFont="1" applyFill="1" applyBorder="1" applyAlignment="1">
      <alignment horizontal="right"/>
    </xf>
    <xf numFmtId="164" fontId="8" fillId="2" borderId="11" xfId="8" applyNumberFormat="1" applyFont="1" applyFill="1" applyBorder="1" applyAlignment="1">
      <alignment horizontal="right"/>
    </xf>
    <xf numFmtId="3" fontId="4" fillId="0" borderId="6" xfId="1" applyNumberFormat="1" applyBorder="1"/>
    <xf numFmtId="167" fontId="4" fillId="0" borderId="8" xfId="1" applyNumberFormat="1" applyBorder="1"/>
    <xf numFmtId="3" fontId="4" fillId="0" borderId="15" xfId="1" applyNumberFormat="1" applyBorder="1"/>
    <xf numFmtId="167" fontId="4" fillId="0" borderId="14" xfId="1" applyNumberFormat="1" applyBorder="1"/>
    <xf numFmtId="3" fontId="4" fillId="0" borderId="9" xfId="1" applyNumberFormat="1" applyBorder="1"/>
    <xf numFmtId="167" fontId="4" fillId="0" borderId="11" xfId="1" applyNumberFormat="1" applyBorder="1"/>
    <xf numFmtId="0" fontId="20" fillId="0" borderId="16" xfId="1" applyFont="1" applyBorder="1" applyAlignment="1">
      <alignment horizontal="right" wrapText="1"/>
    </xf>
    <xf numFmtId="0" fontId="20" fillId="0" borderId="4" xfId="1" applyFont="1" applyBorder="1" applyAlignment="1">
      <alignment horizontal="right" wrapText="1"/>
    </xf>
    <xf numFmtId="0" fontId="20" fillId="0" borderId="13" xfId="1" applyFont="1" applyBorder="1" applyAlignment="1">
      <alignment horizontal="right" wrapText="1"/>
    </xf>
    <xf numFmtId="3" fontId="4" fillId="2" borderId="6" xfId="8" applyNumberFormat="1" applyFont="1" applyFill="1" applyBorder="1" applyAlignment="1"/>
    <xf numFmtId="164" fontId="4" fillId="2" borderId="8" xfId="8" applyNumberFormat="1" applyFont="1" applyFill="1" applyBorder="1" applyAlignment="1"/>
    <xf numFmtId="3" fontId="4" fillId="2" borderId="15" xfId="8" applyNumberFormat="1" applyFont="1" applyFill="1" applyBorder="1" applyAlignment="1"/>
    <xf numFmtId="164" fontId="4" fillId="2" borderId="14" xfId="8" applyNumberFormat="1" applyFont="1" applyFill="1" applyBorder="1" applyAlignment="1"/>
    <xf numFmtId="3" fontId="4" fillId="2" borderId="9" xfId="8" applyNumberFormat="1" applyFont="1" applyFill="1" applyBorder="1" applyAlignment="1"/>
    <xf numFmtId="164" fontId="4" fillId="2" borderId="11" xfId="8" applyNumberFormat="1" applyFont="1" applyFill="1" applyBorder="1" applyAlignment="1"/>
    <xf numFmtId="3" fontId="4" fillId="2" borderId="9" xfId="1" applyNumberFormat="1" applyFill="1" applyBorder="1"/>
    <xf numFmtId="3" fontId="8" fillId="2" borderId="16" xfId="1" applyNumberFormat="1" applyFont="1" applyFill="1" applyBorder="1"/>
    <xf numFmtId="164" fontId="8" fillId="2" borderId="4" xfId="8" applyNumberFormat="1" applyFont="1" applyFill="1" applyBorder="1" applyAlignment="1"/>
    <xf numFmtId="3" fontId="4" fillId="2" borderId="0" xfId="1" applyNumberFormat="1" applyFill="1"/>
    <xf numFmtId="164" fontId="8" fillId="2" borderId="11" xfId="8" applyNumberFormat="1" applyFont="1" applyFill="1" applyBorder="1"/>
    <xf numFmtId="0" fontId="8" fillId="2" borderId="14" xfId="1" applyFont="1" applyFill="1" applyBorder="1" applyAlignment="1">
      <alignment horizontal="right" vertical="center" wrapText="1"/>
    </xf>
    <xf numFmtId="3" fontId="8" fillId="2" borderId="0" xfId="1" applyNumberFormat="1" applyFont="1" applyFill="1" applyAlignment="1">
      <alignment horizontal="right" vertical="center" wrapText="1"/>
    </xf>
    <xf numFmtId="3" fontId="4" fillId="2" borderId="6" xfId="1" applyNumberFormat="1" applyFill="1" applyBorder="1" applyAlignment="1">
      <alignment horizontal="right"/>
    </xf>
    <xf numFmtId="3" fontId="4" fillId="2" borderId="15" xfId="8" applyNumberFormat="1" applyFont="1" applyFill="1" applyBorder="1" applyAlignment="1">
      <alignment horizontal="right"/>
    </xf>
    <xf numFmtId="3" fontId="4" fillId="2" borderId="9" xfId="8" applyNumberFormat="1" applyFont="1" applyFill="1" applyBorder="1" applyAlignment="1">
      <alignment horizontal="right"/>
    </xf>
    <xf numFmtId="165" fontId="8" fillId="2" borderId="9" xfId="10" applyNumberFormat="1" applyFont="1" applyFill="1" applyBorder="1" applyAlignment="1">
      <alignment horizontal="right"/>
    </xf>
    <xf numFmtId="3" fontId="4" fillId="2" borderId="15" xfId="1" applyNumberFormat="1" applyFill="1" applyBorder="1"/>
    <xf numFmtId="3" fontId="8" fillId="2" borderId="9" xfId="1" applyNumberFormat="1" applyFont="1" applyFill="1" applyBorder="1"/>
    <xf numFmtId="3" fontId="4" fillId="2" borderId="6" xfId="8" applyNumberFormat="1" applyFont="1" applyFill="1" applyBorder="1" applyAlignment="1">
      <alignment vertical="center"/>
    </xf>
    <xf numFmtId="164" fontId="4" fillId="2" borderId="8" xfId="8" applyNumberFormat="1" applyFont="1" applyFill="1" applyBorder="1" applyAlignment="1">
      <alignment vertical="center"/>
    </xf>
    <xf numFmtId="3" fontId="4" fillId="2" borderId="15" xfId="8" applyNumberFormat="1" applyFont="1" applyFill="1" applyBorder="1" applyAlignment="1">
      <alignment vertical="center"/>
    </xf>
    <xf numFmtId="164" fontId="4" fillId="2" borderId="14" xfId="8" applyNumberFormat="1" applyFont="1" applyFill="1" applyBorder="1" applyAlignment="1">
      <alignment vertical="center"/>
    </xf>
    <xf numFmtId="3" fontId="4" fillId="2" borderId="9" xfId="8" applyNumberFormat="1" applyFont="1" applyFill="1" applyBorder="1" applyAlignment="1">
      <alignment vertical="center"/>
    </xf>
    <xf numFmtId="164" fontId="4" fillId="2" borderId="11" xfId="8" applyNumberFormat="1" applyFont="1" applyFill="1" applyBorder="1" applyAlignment="1">
      <alignment vertical="center"/>
    </xf>
    <xf numFmtId="3" fontId="8" fillId="2" borderId="9" xfId="1" applyNumberFormat="1" applyFont="1" applyFill="1" applyBorder="1" applyAlignment="1">
      <alignment vertical="center"/>
    </xf>
    <xf numFmtId="164" fontId="8" fillId="2" borderId="11" xfId="8" applyNumberFormat="1" applyFont="1" applyFill="1" applyBorder="1" applyAlignment="1">
      <alignment vertical="center"/>
    </xf>
    <xf numFmtId="3" fontId="4" fillId="2" borderId="7" xfId="1" applyNumberFormat="1" applyFill="1" applyBorder="1"/>
    <xf numFmtId="3" fontId="4" fillId="2" borderId="10" xfId="1" applyNumberFormat="1" applyFill="1" applyBorder="1"/>
    <xf numFmtId="0" fontId="8" fillId="2" borderId="6" xfId="1" applyFont="1" applyFill="1" applyBorder="1" applyAlignment="1">
      <alignment horizontal="right"/>
    </xf>
    <xf numFmtId="0" fontId="8" fillId="2" borderId="7" xfId="1" applyFont="1" applyFill="1" applyBorder="1" applyAlignment="1">
      <alignment horizontal="right"/>
    </xf>
    <xf numFmtId="0" fontId="8" fillId="2" borderId="8" xfId="1" applyFont="1" applyFill="1" applyBorder="1" applyAlignment="1">
      <alignment horizontal="right"/>
    </xf>
    <xf numFmtId="3" fontId="4" fillId="2" borderId="7" xfId="1" applyNumberFormat="1" applyFill="1" applyBorder="1" applyAlignment="1">
      <alignment horizontal="right"/>
    </xf>
    <xf numFmtId="3" fontId="4" fillId="2" borderId="8" xfId="1" applyNumberFormat="1" applyFill="1" applyBorder="1" applyAlignment="1">
      <alignment horizontal="right"/>
    </xf>
    <xf numFmtId="3" fontId="4" fillId="2" borderId="15" xfId="1" applyNumberFormat="1" applyFill="1" applyBorder="1" applyAlignment="1">
      <alignment horizontal="right"/>
    </xf>
    <xf numFmtId="3" fontId="4" fillId="2" borderId="0" xfId="1" applyNumberFormat="1" applyFill="1" applyAlignment="1">
      <alignment horizontal="right"/>
    </xf>
    <xf numFmtId="3" fontId="4" fillId="2" borderId="14" xfId="1" applyNumberFormat="1" applyFill="1" applyBorder="1" applyAlignment="1">
      <alignment horizontal="right"/>
    </xf>
    <xf numFmtId="3" fontId="4" fillId="2" borderId="11" xfId="1" applyNumberFormat="1" applyFill="1" applyBorder="1" applyAlignment="1">
      <alignment horizontal="right"/>
    </xf>
    <xf numFmtId="165" fontId="4" fillId="2" borderId="9" xfId="10" applyNumberFormat="1" applyFont="1" applyFill="1" applyBorder="1" applyAlignment="1">
      <alignment horizontal="right"/>
    </xf>
    <xf numFmtId="165" fontId="4" fillId="2" borderId="10" xfId="10" applyNumberFormat="1" applyFont="1" applyFill="1" applyBorder="1" applyAlignment="1">
      <alignment horizontal="right"/>
    </xf>
    <xf numFmtId="165" fontId="4" fillId="2" borderId="11" xfId="10" applyNumberFormat="1" applyFont="1" applyFill="1" applyBorder="1" applyAlignment="1">
      <alignment horizontal="right"/>
    </xf>
    <xf numFmtId="165" fontId="4" fillId="2" borderId="15" xfId="10" applyNumberFormat="1" applyFont="1" applyFill="1" applyBorder="1" applyAlignment="1">
      <alignment horizontal="right"/>
    </xf>
    <xf numFmtId="164" fontId="16" fillId="0" borderId="8" xfId="8" applyNumberFormat="1" applyFont="1" applyBorder="1"/>
    <xf numFmtId="164" fontId="16" fillId="0" borderId="14" xfId="8" applyNumberFormat="1" applyFont="1" applyBorder="1"/>
    <xf numFmtId="164" fontId="16" fillId="0" borderId="11" xfId="8" applyNumberFormat="1" applyFont="1" applyBorder="1"/>
    <xf numFmtId="164" fontId="20" fillId="0" borderId="11" xfId="8" applyNumberFormat="1" applyFont="1" applyBorder="1"/>
    <xf numFmtId="3" fontId="4" fillId="2" borderId="6" xfId="1" applyNumberFormat="1" applyFill="1" applyBorder="1" applyAlignment="1">
      <alignment vertical="center"/>
    </xf>
    <xf numFmtId="3" fontId="4" fillId="2" borderId="15" xfId="1" applyNumberFormat="1" applyFill="1" applyBorder="1" applyAlignment="1">
      <alignment vertical="center"/>
    </xf>
    <xf numFmtId="3" fontId="4" fillId="2" borderId="9" xfId="1" applyNumberFormat="1" applyFill="1" applyBorder="1" applyAlignment="1">
      <alignment vertical="center"/>
    </xf>
    <xf numFmtId="3" fontId="4" fillId="2" borderId="6" xfId="10" applyNumberFormat="1" applyFont="1" applyFill="1" applyBorder="1"/>
    <xf numFmtId="164" fontId="4" fillId="2" borderId="8" xfId="1" applyNumberFormat="1" applyFill="1" applyBorder="1"/>
    <xf numFmtId="3" fontId="4" fillId="2" borderId="15" xfId="10" applyNumberFormat="1" applyFont="1" applyFill="1" applyBorder="1"/>
    <xf numFmtId="164" fontId="4" fillId="2" borderId="14" xfId="1" applyNumberFormat="1" applyFill="1" applyBorder="1"/>
    <xf numFmtId="164" fontId="4" fillId="2" borderId="11" xfId="1" applyNumberFormat="1" applyFill="1" applyBorder="1"/>
    <xf numFmtId="3" fontId="4" fillId="2" borderId="16" xfId="1" applyNumberFormat="1" applyFill="1" applyBorder="1"/>
    <xf numFmtId="3" fontId="4" fillId="2" borderId="13" xfId="8" applyNumberFormat="1" applyFont="1" applyFill="1" applyBorder="1"/>
    <xf numFmtId="3" fontId="4" fillId="2" borderId="4" xfId="1" applyNumberFormat="1" applyFill="1" applyBorder="1"/>
    <xf numFmtId="3" fontId="4" fillId="2" borderId="14" xfId="1" applyNumberFormat="1" applyFill="1" applyBorder="1"/>
    <xf numFmtId="3" fontId="4" fillId="2" borderId="11" xfId="1" applyNumberFormat="1" applyFill="1" applyBorder="1"/>
    <xf numFmtId="3" fontId="8" fillId="2" borderId="10" xfId="1" applyNumberFormat="1" applyFont="1" applyFill="1" applyBorder="1"/>
    <xf numFmtId="3" fontId="8" fillId="2" borderId="11" xfId="1" applyNumberFormat="1" applyFont="1" applyFill="1" applyBorder="1"/>
    <xf numFmtId="43" fontId="4" fillId="2" borderId="15" xfId="10" applyFont="1" applyFill="1" applyBorder="1" applyAlignment="1"/>
    <xf numFmtId="43" fontId="4" fillId="2" borderId="0" xfId="10" applyFont="1" applyFill="1" applyBorder="1" applyAlignment="1"/>
    <xf numFmtId="43" fontId="4" fillId="2" borderId="14" xfId="10" applyFont="1" applyFill="1" applyBorder="1" applyAlignment="1"/>
    <xf numFmtId="168" fontId="16" fillId="4" borderId="0" xfId="11" applyNumberFormat="1" applyFont="1" applyFill="1" applyBorder="1"/>
    <xf numFmtId="0" fontId="8" fillId="2" borderId="16" xfId="1" applyFont="1" applyFill="1" applyBorder="1" applyAlignment="1">
      <alignment horizontal="right" vertical="center"/>
    </xf>
    <xf numFmtId="0" fontId="8" fillId="2" borderId="4" xfId="1" applyFont="1" applyFill="1" applyBorder="1" applyAlignment="1">
      <alignment horizontal="right" vertical="center"/>
    </xf>
    <xf numFmtId="3" fontId="4" fillId="0" borderId="6" xfId="1" applyNumberFormat="1" applyBorder="1" applyAlignment="1">
      <alignment vertical="center"/>
    </xf>
    <xf numFmtId="3" fontId="4" fillId="0" borderId="8" xfId="1" applyNumberFormat="1" applyBorder="1" applyAlignment="1">
      <alignment vertical="center"/>
    </xf>
    <xf numFmtId="3" fontId="4" fillId="0" borderId="7" xfId="1" applyNumberFormat="1" applyBorder="1" applyAlignment="1">
      <alignment vertical="center"/>
    </xf>
    <xf numFmtId="167" fontId="4" fillId="0" borderId="7" xfId="1" applyNumberFormat="1" applyBorder="1" applyAlignment="1">
      <alignment vertical="center"/>
    </xf>
    <xf numFmtId="167" fontId="4" fillId="0" borderId="8" xfId="1" applyNumberFormat="1" applyBorder="1" applyAlignment="1">
      <alignment vertical="center"/>
    </xf>
    <xf numFmtId="3" fontId="4" fillId="0" borderId="15" xfId="1" applyNumberFormat="1" applyBorder="1" applyAlignment="1">
      <alignment vertical="center"/>
    </xf>
    <xf numFmtId="3" fontId="4" fillId="0" borderId="14" xfId="1" applyNumberFormat="1" applyBorder="1" applyAlignment="1">
      <alignment vertical="center"/>
    </xf>
    <xf numFmtId="3" fontId="4" fillId="0" borderId="0" xfId="1" applyNumberFormat="1" applyAlignment="1">
      <alignment vertical="center"/>
    </xf>
    <xf numFmtId="167" fontId="4" fillId="0" borderId="0" xfId="1" applyNumberFormat="1" applyAlignment="1">
      <alignment vertical="center"/>
    </xf>
    <xf numFmtId="167" fontId="4" fillId="0" borderId="14" xfId="1" applyNumberFormat="1" applyBorder="1" applyAlignment="1">
      <alignment vertical="center"/>
    </xf>
    <xf numFmtId="3" fontId="4" fillId="0" borderId="9" xfId="1" applyNumberFormat="1" applyBorder="1" applyAlignment="1">
      <alignment vertical="center"/>
    </xf>
    <xf numFmtId="3" fontId="4" fillId="0" borderId="11" xfId="1" applyNumberFormat="1" applyBorder="1" applyAlignment="1">
      <alignment vertical="center"/>
    </xf>
    <xf numFmtId="3" fontId="8" fillId="0" borderId="16" xfId="1" applyNumberFormat="1" applyFont="1" applyBorder="1" applyAlignment="1">
      <alignment vertical="center"/>
    </xf>
    <xf numFmtId="3" fontId="4" fillId="0" borderId="10" xfId="1" applyNumberFormat="1" applyBorder="1" applyAlignment="1">
      <alignment vertical="center"/>
    </xf>
    <xf numFmtId="3" fontId="8" fillId="0" borderId="13" xfId="1" applyNumberFormat="1" applyFont="1" applyBorder="1" applyAlignment="1">
      <alignment vertical="center"/>
    </xf>
    <xf numFmtId="167" fontId="8" fillId="0" borderId="9" xfId="1" applyNumberFormat="1" applyFont="1" applyBorder="1" applyAlignment="1">
      <alignment vertical="center"/>
    </xf>
    <xf numFmtId="167" fontId="8" fillId="0" borderId="11" xfId="1" applyNumberFormat="1" applyFont="1" applyBorder="1" applyAlignment="1">
      <alignment vertical="center"/>
    </xf>
    <xf numFmtId="0" fontId="0" fillId="0" borderId="0" xfId="0" applyAlignment="1">
      <alignment vertical="center" wrapText="1"/>
    </xf>
    <xf numFmtId="166" fontId="4" fillId="0" borderId="0" xfId="1" applyNumberFormat="1"/>
    <xf numFmtId="164" fontId="4" fillId="2" borderId="0" xfId="8" applyNumberFormat="1" applyFont="1" applyFill="1" applyAlignment="1"/>
    <xf numFmtId="164" fontId="4" fillId="2" borderId="14" xfId="1" applyNumberFormat="1" applyFill="1" applyBorder="1" applyAlignment="1">
      <alignment horizontal="right"/>
    </xf>
    <xf numFmtId="164" fontId="4" fillId="2" borderId="11" xfId="1" applyNumberFormat="1" applyFill="1" applyBorder="1" applyAlignment="1">
      <alignment horizontal="right"/>
    </xf>
    <xf numFmtId="0" fontId="8" fillId="2" borderId="13" xfId="1" applyFont="1" applyFill="1" applyBorder="1" applyAlignment="1">
      <alignment horizontal="left" vertical="center"/>
    </xf>
    <xf numFmtId="0" fontId="8" fillId="0" borderId="13" xfId="1" applyFont="1" applyBorder="1" applyAlignment="1">
      <alignment horizontal="left" vertical="center" wrapText="1"/>
    </xf>
    <xf numFmtId="49" fontId="8" fillId="0" borderId="16" xfId="1" applyNumberFormat="1" applyFont="1" applyBorder="1" applyAlignment="1">
      <alignment horizontal="right" wrapText="1"/>
    </xf>
    <xf numFmtId="49" fontId="8" fillId="0" borderId="13" xfId="1" applyNumberFormat="1" applyFont="1" applyBorder="1" applyAlignment="1">
      <alignment horizontal="right" wrapText="1"/>
    </xf>
    <xf numFmtId="169" fontId="16" fillId="0" borderId="3" xfId="10" applyNumberFormat="1" applyFont="1" applyFill="1" applyBorder="1" applyAlignment="1">
      <alignment horizontal="right"/>
    </xf>
    <xf numFmtId="169" fontId="20" fillId="0" borderId="2" xfId="10" applyNumberFormat="1" applyFont="1" applyFill="1" applyBorder="1" applyAlignment="1">
      <alignment horizontal="right"/>
    </xf>
    <xf numFmtId="164" fontId="8" fillId="0" borderId="4" xfId="3" applyNumberFormat="1" applyFont="1" applyBorder="1" applyAlignment="1">
      <alignment horizontal="right"/>
    </xf>
    <xf numFmtId="164" fontId="8" fillId="2" borderId="4" xfId="8" applyNumberFormat="1" applyFont="1" applyFill="1" applyBorder="1" applyAlignment="1">
      <alignment horizontal="right"/>
    </xf>
    <xf numFmtId="0" fontId="8" fillId="0" borderId="2" xfId="1" applyFont="1" applyBorder="1" applyAlignment="1">
      <alignment horizontal="left" wrapText="1"/>
    </xf>
    <xf numFmtId="3" fontId="8" fillId="2" borderId="16" xfId="1" applyNumberFormat="1" applyFont="1" applyFill="1" applyBorder="1" applyAlignment="1">
      <alignment horizontal="right"/>
    </xf>
    <xf numFmtId="0" fontId="8" fillId="0" borderId="2" xfId="1" applyFont="1" applyBorder="1" applyAlignment="1">
      <alignment horizontal="left" vertical="center"/>
    </xf>
    <xf numFmtId="165" fontId="8" fillId="0" borderId="16" xfId="10" applyNumberFormat="1" applyFont="1" applyBorder="1" applyAlignment="1">
      <alignment horizontal="right" vertical="center"/>
    </xf>
    <xf numFmtId="0" fontId="8" fillId="0" borderId="16" xfId="1" applyFont="1" applyBorder="1" applyAlignment="1">
      <alignment horizontal="left" vertical="center" wrapText="1"/>
    </xf>
    <xf numFmtId="3" fontId="8" fillId="2" borderId="16" xfId="1" applyNumberFormat="1" applyFont="1" applyFill="1" applyBorder="1" applyAlignment="1">
      <alignment vertical="center"/>
    </xf>
    <xf numFmtId="164" fontId="8" fillId="2" borderId="4" xfId="8" applyNumberFormat="1" applyFont="1" applyFill="1" applyBorder="1" applyAlignment="1">
      <alignment vertical="center"/>
    </xf>
    <xf numFmtId="0" fontId="4" fillId="2" borderId="16" xfId="1" applyFill="1" applyBorder="1" applyAlignment="1">
      <alignment horizontal="center" vertical="center"/>
    </xf>
    <xf numFmtId="165" fontId="8" fillId="0" borderId="13" xfId="10" applyNumberFormat="1" applyFont="1" applyBorder="1" applyAlignment="1">
      <alignment horizontal="right" vertical="center"/>
    </xf>
    <xf numFmtId="167" fontId="8" fillId="0" borderId="16" xfId="1" applyNumberFormat="1" applyFont="1" applyBorder="1" applyAlignment="1">
      <alignment vertical="center"/>
    </xf>
    <xf numFmtId="164" fontId="20" fillId="0" borderId="4" xfId="8" applyNumberFormat="1" applyFont="1" applyBorder="1"/>
    <xf numFmtId="165" fontId="16" fillId="0" borderId="15" xfId="10" applyNumberFormat="1" applyFont="1" applyFill="1" applyBorder="1" applyAlignment="1">
      <alignment horizontal="right"/>
    </xf>
    <xf numFmtId="165" fontId="16" fillId="0" borderId="0" xfId="10" applyNumberFormat="1" applyFont="1" applyFill="1" applyBorder="1" applyAlignment="1">
      <alignment horizontal="right"/>
    </xf>
    <xf numFmtId="170" fontId="4" fillId="2" borderId="0" xfId="10" applyNumberFormat="1" applyFont="1" applyFill="1"/>
    <xf numFmtId="170" fontId="4" fillId="2" borderId="0" xfId="10" applyNumberFormat="1" applyFont="1" applyFill="1" applyBorder="1"/>
    <xf numFmtId="170" fontId="4" fillId="2" borderId="0" xfId="10" applyNumberFormat="1" applyFont="1" applyFill="1" applyAlignment="1"/>
    <xf numFmtId="0" fontId="8" fillId="2" borderId="13" xfId="1" applyFont="1" applyFill="1" applyBorder="1" applyAlignment="1">
      <alignment horizontal="right" vertical="center"/>
    </xf>
    <xf numFmtId="43" fontId="4" fillId="2" borderId="15" xfId="10" applyFont="1" applyFill="1" applyBorder="1" applyAlignment="1">
      <alignment horizontal="right"/>
    </xf>
    <xf numFmtId="43" fontId="4" fillId="2" borderId="0" xfId="10" applyFont="1" applyFill="1" applyBorder="1" applyAlignment="1">
      <alignment horizontal="right"/>
    </xf>
    <xf numFmtId="43" fontId="4" fillId="2" borderId="14" xfId="10" applyFont="1" applyFill="1" applyBorder="1" applyAlignment="1">
      <alignment horizontal="right"/>
    </xf>
    <xf numFmtId="0" fontId="4" fillId="2" borderId="0" xfId="8" applyNumberFormat="1" applyFont="1" applyFill="1"/>
    <xf numFmtId="0" fontId="8" fillId="2" borderId="6" xfId="1" applyFont="1" applyFill="1" applyBorder="1" applyAlignment="1">
      <alignment horizontal="left" vertical="center" wrapText="1"/>
    </xf>
    <xf numFmtId="0" fontId="4" fillId="2" borderId="6" xfId="1" applyFill="1" applyBorder="1" applyAlignment="1">
      <alignment horizontal="left"/>
    </xf>
    <xf numFmtId="0" fontId="4" fillId="2" borderId="15" xfId="1" applyFill="1" applyBorder="1" applyAlignment="1">
      <alignment horizontal="left"/>
    </xf>
    <xf numFmtId="0" fontId="4" fillId="2" borderId="9" xfId="1" applyFill="1" applyBorder="1" applyAlignment="1">
      <alignment horizontal="left"/>
    </xf>
    <xf numFmtId="0" fontId="8" fillId="2" borderId="9" xfId="1" applyFont="1" applyFill="1" applyBorder="1" applyAlignment="1">
      <alignment horizontal="left"/>
    </xf>
    <xf numFmtId="3" fontId="5" fillId="0" borderId="0" xfId="1" applyNumberFormat="1" applyFont="1" applyAlignment="1">
      <alignment vertical="center" wrapText="1"/>
    </xf>
    <xf numFmtId="0" fontId="4" fillId="0" borderId="0" xfId="1" applyAlignment="1">
      <alignment wrapText="1"/>
    </xf>
    <xf numFmtId="0" fontId="4" fillId="2" borderId="15" xfId="1" applyFill="1" applyBorder="1" applyAlignment="1">
      <alignment wrapText="1"/>
    </xf>
    <xf numFmtId="0" fontId="8" fillId="2" borderId="16" xfId="1" applyFont="1" applyFill="1" applyBorder="1" applyAlignment="1">
      <alignment wrapText="1"/>
    </xf>
    <xf numFmtId="0" fontId="8" fillId="2" borderId="9" xfId="1" applyFont="1" applyFill="1" applyBorder="1" applyAlignment="1">
      <alignment wrapText="1"/>
    </xf>
    <xf numFmtId="0" fontId="8" fillId="2" borderId="16" xfId="1" applyFont="1" applyFill="1" applyBorder="1" applyAlignment="1">
      <alignment horizontal="left"/>
    </xf>
    <xf numFmtId="0" fontId="4" fillId="2" borderId="6" xfId="1" applyFill="1" applyBorder="1" applyAlignment="1">
      <alignment wrapText="1"/>
    </xf>
    <xf numFmtId="0" fontId="4" fillId="2" borderId="9" xfId="1" applyFill="1" applyBorder="1" applyAlignment="1">
      <alignment wrapText="1"/>
    </xf>
    <xf numFmtId="0" fontId="8" fillId="2" borderId="16" xfId="1" applyFont="1" applyFill="1" applyBorder="1" applyAlignment="1">
      <alignment vertical="center"/>
    </xf>
    <xf numFmtId="0" fontId="4" fillId="0" borderId="15" xfId="1" applyBorder="1"/>
    <xf numFmtId="0" fontId="8" fillId="0" borderId="9" xfId="1" applyFont="1" applyBorder="1"/>
    <xf numFmtId="171" fontId="4" fillId="2" borderId="0" xfId="1" applyNumberFormat="1" applyFill="1"/>
    <xf numFmtId="49" fontId="8" fillId="0" borderId="13" xfId="1" quotePrefix="1" applyNumberFormat="1" applyFont="1" applyBorder="1" applyAlignment="1">
      <alignment horizontal="right" wrapText="1"/>
    </xf>
    <xf numFmtId="17" fontId="8" fillId="0" borderId="13" xfId="1" quotePrefix="1" applyNumberFormat="1" applyFont="1" applyBorder="1" applyAlignment="1">
      <alignment horizontal="right" wrapText="1"/>
    </xf>
    <xf numFmtId="167" fontId="4" fillId="2" borderId="0" xfId="1" applyNumberFormat="1" applyFill="1"/>
    <xf numFmtId="0" fontId="1" fillId="4" borderId="0" xfId="0" applyFont="1" applyFill="1"/>
    <xf numFmtId="0" fontId="1" fillId="0" borderId="0" xfId="0" applyFont="1" applyAlignment="1">
      <alignment horizontal="left"/>
    </xf>
    <xf numFmtId="164" fontId="16" fillId="0" borderId="0" xfId="0" applyNumberFormat="1" applyFont="1" applyAlignment="1">
      <alignment horizontal="right"/>
    </xf>
    <xf numFmtId="164" fontId="4" fillId="2" borderId="0" xfId="1" applyNumberFormat="1" applyFill="1" applyAlignment="1">
      <alignment horizontal="right"/>
    </xf>
    <xf numFmtId="0" fontId="39" fillId="0" borderId="0" xfId="0" applyFont="1"/>
    <xf numFmtId="0" fontId="38" fillId="0" borderId="0" xfId="0" applyFont="1" applyAlignment="1">
      <alignment vertical="top" readingOrder="1"/>
    </xf>
    <xf numFmtId="49" fontId="8" fillId="0" borderId="2" xfId="1" applyNumberFormat="1" applyFont="1" applyBorder="1" applyAlignment="1">
      <alignment horizontal="right" wrapText="1"/>
    </xf>
    <xf numFmtId="0" fontId="8" fillId="0" borderId="16" xfId="1" applyFont="1" applyBorder="1" applyAlignment="1">
      <alignment vertical="center" wrapText="1"/>
    </xf>
    <xf numFmtId="0" fontId="8" fillId="0" borderId="13" xfId="1" applyFont="1" applyBorder="1" applyAlignment="1">
      <alignment vertical="center"/>
    </xf>
    <xf numFmtId="165" fontId="20" fillId="0" borderId="16" xfId="10" applyNumberFormat="1" applyFont="1" applyFill="1" applyBorder="1" applyAlignment="1">
      <alignment horizontal="right"/>
    </xf>
    <xf numFmtId="165" fontId="20" fillId="0" borderId="13" xfId="10" applyNumberFormat="1" applyFont="1" applyFill="1" applyBorder="1" applyAlignment="1">
      <alignment horizontal="right"/>
    </xf>
    <xf numFmtId="0" fontId="4" fillId="2" borderId="0" xfId="1" quotePrefix="1" applyFill="1" applyAlignment="1">
      <alignment horizontal="right"/>
    </xf>
    <xf numFmtId="165" fontId="8" fillId="2" borderId="16" xfId="1" applyNumberFormat="1" applyFont="1" applyFill="1" applyBorder="1"/>
    <xf numFmtId="3" fontId="4" fillId="2" borderId="9" xfId="1" applyNumberFormat="1" applyFill="1" applyBorder="1" applyAlignment="1">
      <alignment horizontal="right"/>
    </xf>
    <xf numFmtId="3" fontId="4" fillId="2" borderId="10" xfId="1" applyNumberFormat="1" applyFill="1" applyBorder="1" applyAlignment="1">
      <alignment horizontal="right"/>
    </xf>
    <xf numFmtId="0" fontId="15" fillId="0" borderId="0" xfId="1" applyFont="1" applyAlignment="1" applyProtection="1">
      <alignment horizontal="left" vertical="top" wrapText="1" readingOrder="1"/>
      <protection locked="0"/>
    </xf>
    <xf numFmtId="165" fontId="4" fillId="2" borderId="13" xfId="10" applyNumberFormat="1" applyFont="1" applyFill="1" applyBorder="1"/>
    <xf numFmtId="165" fontId="20" fillId="0" borderId="10" xfId="10" applyNumberFormat="1" applyFont="1" applyBorder="1"/>
    <xf numFmtId="0" fontId="1" fillId="0" borderId="0" xfId="0" applyFont="1"/>
    <xf numFmtId="0" fontId="7" fillId="0" borderId="0" xfId="2" applyAlignment="1" applyProtection="1"/>
    <xf numFmtId="9" fontId="4" fillId="2" borderId="0" xfId="8" applyFont="1" applyFill="1"/>
    <xf numFmtId="165" fontId="4" fillId="2" borderId="16" xfId="10" applyNumberFormat="1" applyFont="1" applyFill="1" applyBorder="1"/>
    <xf numFmtId="165" fontId="20" fillId="0" borderId="9" xfId="10" applyNumberFormat="1" applyFont="1" applyBorder="1"/>
    <xf numFmtId="0" fontId="4" fillId="2" borderId="15" xfId="1" quotePrefix="1" applyFill="1" applyBorder="1" applyAlignment="1">
      <alignment horizontal="right"/>
    </xf>
    <xf numFmtId="0" fontId="29" fillId="4" borderId="0" xfId="0" applyFont="1" applyFill="1" applyAlignment="1">
      <alignment horizontal="left"/>
    </xf>
    <xf numFmtId="0" fontId="1" fillId="4" borderId="0" xfId="0" applyFont="1" applyFill="1"/>
    <xf numFmtId="0" fontId="15" fillId="0" borderId="0" xfId="0" applyFont="1" applyAlignment="1" applyProtection="1">
      <alignment horizontal="left" vertical="top" wrapText="1" readingOrder="1"/>
      <protection locked="0"/>
    </xf>
    <xf numFmtId="0" fontId="16" fillId="4" borderId="0" xfId="0" applyFont="1" applyFill="1" applyAlignment="1">
      <alignment wrapText="1"/>
    </xf>
    <xf numFmtId="0" fontId="15" fillId="0" borderId="0" xfId="1" applyFont="1" applyAlignment="1" applyProtection="1">
      <alignment horizontal="left" vertical="top" wrapText="1" readingOrder="1"/>
      <protection locked="0"/>
    </xf>
    <xf numFmtId="0" fontId="7" fillId="0" borderId="0" xfId="2" quotePrefix="1" applyAlignment="1" applyProtection="1">
      <alignment horizontal="left"/>
    </xf>
    <xf numFmtId="0" fontId="7" fillId="0" borderId="0" xfId="2" quotePrefix="1" applyAlignment="1" applyProtection="1"/>
    <xf numFmtId="0" fontId="17" fillId="0" borderId="0" xfId="1" applyFont="1" applyAlignment="1">
      <alignment horizontal="left"/>
    </xf>
    <xf numFmtId="0" fontId="7" fillId="0" borderId="0" xfId="2" applyAlignment="1" applyProtection="1">
      <alignment horizontal="left"/>
    </xf>
    <xf numFmtId="0" fontId="4" fillId="2" borderId="0" xfId="1" applyFill="1" applyAlignment="1">
      <alignment horizontal="left" wrapText="1"/>
    </xf>
    <xf numFmtId="0" fontId="8" fillId="2" borderId="16" xfId="1" applyFont="1" applyFill="1" applyBorder="1" applyAlignment="1">
      <alignment horizontal="center"/>
    </xf>
    <xf numFmtId="0" fontId="8" fillId="2" borderId="4" xfId="1" applyFont="1" applyFill="1" applyBorder="1" applyAlignment="1">
      <alignment horizontal="center"/>
    </xf>
    <xf numFmtId="0" fontId="4" fillId="2" borderId="0" xfId="1" applyFill="1" applyAlignment="1">
      <alignment horizontal="left" vertical="top" wrapText="1"/>
    </xf>
    <xf numFmtId="0" fontId="4" fillId="0" borderId="0" xfId="1" applyAlignment="1">
      <alignment horizontal="left" wrapText="1"/>
    </xf>
    <xf numFmtId="0" fontId="8" fillId="2" borderId="6" xfId="1" applyFont="1" applyFill="1" applyBorder="1" applyAlignment="1">
      <alignment horizontal="center"/>
    </xf>
    <xf numFmtId="0" fontId="8" fillId="2" borderId="8" xfId="1" applyFont="1" applyFill="1" applyBorder="1" applyAlignment="1">
      <alignment horizontal="center"/>
    </xf>
    <xf numFmtId="0" fontId="8" fillId="0" borderId="16" xfId="1" applyFont="1" applyBorder="1" applyAlignment="1">
      <alignment horizontal="center"/>
    </xf>
    <xf numFmtId="0" fontId="8" fillId="0" borderId="4" xfId="1" applyFont="1" applyBorder="1" applyAlignment="1">
      <alignment horizontal="center"/>
    </xf>
    <xf numFmtId="0" fontId="7" fillId="0" borderId="0" xfId="2" applyFill="1" applyAlignment="1" applyProtection="1">
      <alignment horizontal="left"/>
    </xf>
    <xf numFmtId="0" fontId="4" fillId="0" borderId="0" xfId="1" applyAlignment="1">
      <alignment horizontal="left" vertical="top" wrapText="1"/>
    </xf>
    <xf numFmtId="0" fontId="4" fillId="0" borderId="0" xfId="1" applyAlignment="1">
      <alignment wrapText="1"/>
    </xf>
    <xf numFmtId="0" fontId="4" fillId="0" borderId="0" xfId="0" applyFont="1" applyAlignment="1">
      <alignment horizontal="left" vertical="top" wrapText="1"/>
    </xf>
    <xf numFmtId="0" fontId="8" fillId="2" borderId="16" xfId="1" applyFont="1" applyFill="1" applyBorder="1" applyAlignment="1">
      <alignment horizontal="center" vertical="center"/>
    </xf>
    <xf numFmtId="0" fontId="8" fillId="2" borderId="4" xfId="1" applyFont="1" applyFill="1" applyBorder="1" applyAlignment="1">
      <alignment horizontal="center" vertical="center"/>
    </xf>
    <xf numFmtId="0" fontId="8" fillId="2" borderId="10" xfId="1" applyFont="1" applyFill="1" applyBorder="1" applyAlignment="1">
      <alignment horizontal="center" vertical="center"/>
    </xf>
    <xf numFmtId="0" fontId="8" fillId="2" borderId="11" xfId="1" applyFont="1" applyFill="1" applyBorder="1" applyAlignment="1">
      <alignment horizontal="center" vertical="center"/>
    </xf>
    <xf numFmtId="0" fontId="8" fillId="0" borderId="16" xfId="1" applyFont="1" applyBorder="1" applyAlignment="1">
      <alignment horizontal="center" vertical="center"/>
    </xf>
    <xf numFmtId="0" fontId="8" fillId="0" borderId="13" xfId="1" applyFont="1" applyBorder="1" applyAlignment="1">
      <alignment horizontal="center" vertical="center"/>
    </xf>
    <xf numFmtId="0" fontId="8" fillId="0" borderId="4" xfId="1" applyFont="1" applyBorder="1" applyAlignment="1">
      <alignment horizontal="center" vertical="center"/>
    </xf>
    <xf numFmtId="0" fontId="7" fillId="2" borderId="0" xfId="2" applyFill="1" applyAlignment="1" applyProtection="1">
      <alignment horizontal="left"/>
    </xf>
    <xf numFmtId="0" fontId="4" fillId="4" borderId="0" xfId="1" applyFill="1" applyAlignment="1">
      <alignment horizontal="left" wrapText="1"/>
    </xf>
    <xf numFmtId="0" fontId="32" fillId="0" borderId="0" xfId="2" applyFont="1" applyFill="1" applyAlignment="1" applyProtection="1">
      <alignment wrapText="1"/>
    </xf>
    <xf numFmtId="0" fontId="8" fillId="0" borderId="2" xfId="0" applyFont="1" applyBorder="1" applyAlignment="1">
      <alignment horizontal="center"/>
    </xf>
    <xf numFmtId="0" fontId="8" fillId="0" borderId="6" xfId="1" applyFont="1" applyBorder="1" applyAlignment="1">
      <alignment horizontal="center"/>
    </xf>
    <xf numFmtId="0" fontId="8" fillId="0" borderId="8" xfId="1" applyFont="1" applyBorder="1" applyAlignment="1">
      <alignment horizontal="center"/>
    </xf>
    <xf numFmtId="0" fontId="8" fillId="0" borderId="7" xfId="1" applyFont="1" applyBorder="1" applyAlignment="1">
      <alignment horizontal="center"/>
    </xf>
    <xf numFmtId="0" fontId="8" fillId="2" borderId="16" xfId="1" applyFont="1" applyFill="1" applyBorder="1" applyAlignment="1">
      <alignment horizontal="left"/>
    </xf>
    <xf numFmtId="0" fontId="8" fillId="2" borderId="13" xfId="1" applyFont="1" applyFill="1" applyBorder="1" applyAlignment="1">
      <alignment horizontal="left"/>
    </xf>
    <xf numFmtId="0" fontId="16" fillId="0" borderId="0" xfId="0" applyFont="1" applyAlignment="1">
      <alignment horizontal="left" wrapText="1"/>
    </xf>
    <xf numFmtId="0" fontId="16" fillId="0" borderId="0" xfId="0" applyFont="1" applyAlignment="1">
      <alignment horizontal="left" vertical="top" wrapText="1"/>
    </xf>
    <xf numFmtId="0" fontId="4" fillId="2" borderId="0" xfId="1" applyFill="1" applyAlignment="1">
      <alignment horizontal="left" vertical="center"/>
    </xf>
    <xf numFmtId="0" fontId="8" fillId="2" borderId="16" xfId="1" applyFont="1" applyFill="1" applyBorder="1" applyAlignment="1">
      <alignment horizontal="center" vertical="top" wrapText="1"/>
    </xf>
    <xf numFmtId="0" fontId="8" fillId="2" borderId="4" xfId="1" applyFont="1" applyFill="1" applyBorder="1" applyAlignment="1">
      <alignment horizontal="center" vertical="top" wrapText="1"/>
    </xf>
    <xf numFmtId="0" fontId="9" fillId="2" borderId="0" xfId="1" applyFont="1" applyFill="1" applyAlignment="1">
      <alignment horizontal="left" wrapText="1"/>
    </xf>
    <xf numFmtId="0" fontId="8" fillId="2" borderId="13" xfId="1" applyFont="1" applyFill="1" applyBorder="1" applyAlignment="1">
      <alignment horizontal="center"/>
    </xf>
    <xf numFmtId="0" fontId="8" fillId="2" borderId="13" xfId="1" applyFont="1" applyFill="1" applyBorder="1" applyAlignment="1">
      <alignment horizontal="center" vertical="center"/>
    </xf>
    <xf numFmtId="0" fontId="8" fillId="2" borderId="16" xfId="1" applyFont="1" applyFill="1" applyBorder="1" applyAlignment="1">
      <alignment horizontal="left" vertical="center"/>
    </xf>
    <xf numFmtId="0" fontId="8" fillId="2" borderId="13" xfId="1" applyFont="1" applyFill="1" applyBorder="1" applyAlignment="1">
      <alignment horizontal="left" vertical="center"/>
    </xf>
    <xf numFmtId="0" fontId="4" fillId="4" borderId="0" xfId="7" applyFont="1" applyFill="1" applyAlignment="1">
      <alignment horizontal="left"/>
    </xf>
    <xf numFmtId="0" fontId="8" fillId="2" borderId="0" xfId="1" applyFont="1" applyFill="1" applyAlignment="1">
      <alignment horizontal="left"/>
    </xf>
  </cellXfs>
  <cellStyles count="46">
    <cellStyle name="Comma" xfId="10" builtinId="3"/>
    <cellStyle name="Comma 2" xfId="4" xr:uid="{00000000-0005-0000-0000-000001000000}"/>
    <cellStyle name="Comma 2 2" xfId="13" xr:uid="{00000000-0005-0000-0000-000002000000}"/>
    <cellStyle name="Comma 2 2 2" xfId="36" xr:uid="{00000000-0005-0000-0000-000002000000}"/>
    <cellStyle name="Comma 2 3" xfId="33" xr:uid="{00000000-0005-0000-0000-000001000000}"/>
    <cellStyle name="Comma 3" xfId="14" xr:uid="{00000000-0005-0000-0000-000003000000}"/>
    <cellStyle name="Comma 3 2" xfId="37" xr:uid="{00000000-0005-0000-0000-000003000000}"/>
    <cellStyle name="Comma 4" xfId="35" xr:uid="{00000000-0005-0000-0000-00004E000000}"/>
    <cellStyle name="Followed Hyperlink 2" xfId="26" xr:uid="{00000000-0005-0000-0000-000004000000}"/>
    <cellStyle name="Hyperlink" xfId="2" builtinId="8"/>
    <cellStyle name="Hyperlink 2" xfId="15" xr:uid="{00000000-0005-0000-0000-000006000000}"/>
    <cellStyle name="Hyperlink 3" xfId="25" xr:uid="{00000000-0005-0000-0000-000007000000}"/>
    <cellStyle name="Hyperlink 4" xfId="12" xr:uid="{00000000-0005-0000-0000-000008000000}"/>
    <cellStyle name="Normal" xfId="0" builtinId="0"/>
    <cellStyle name="Normal 2" xfId="1" xr:uid="{00000000-0005-0000-0000-00000A000000}"/>
    <cellStyle name="Normal 2 2" xfId="5" xr:uid="{00000000-0005-0000-0000-00000B000000}"/>
    <cellStyle name="Normal 2 2 2" xfId="16" xr:uid="{00000000-0005-0000-0000-00000C000000}"/>
    <cellStyle name="Normal 2 3" xfId="7" xr:uid="{00000000-0005-0000-0000-00000D000000}"/>
    <cellStyle name="Normal 3" xfId="6" xr:uid="{00000000-0005-0000-0000-00000E000000}"/>
    <cellStyle name="Normal 3 2" xfId="18" xr:uid="{00000000-0005-0000-0000-00000F000000}"/>
    <cellStyle name="Normal 3 2 2" xfId="39" xr:uid="{00000000-0005-0000-0000-00000F000000}"/>
    <cellStyle name="Normal 3 3" xfId="17" xr:uid="{00000000-0005-0000-0000-000010000000}"/>
    <cellStyle name="Normal 3 3 2" xfId="38" xr:uid="{00000000-0005-0000-0000-000010000000}"/>
    <cellStyle name="Normal 3 4" xfId="34" xr:uid="{00000000-0005-0000-0000-00000E000000}"/>
    <cellStyle name="Normal 4" xfId="19" xr:uid="{00000000-0005-0000-0000-000011000000}"/>
    <cellStyle name="Normal 5" xfId="29" xr:uid="{00000000-0005-0000-0000-000012000000}"/>
    <cellStyle name="Normal 6" xfId="30" xr:uid="{00000000-0005-0000-0000-000013000000}"/>
    <cellStyle name="Normal 6 2" xfId="43" xr:uid="{00000000-0005-0000-0000-000013000000}"/>
    <cellStyle name="Normal 7" xfId="31" xr:uid="{7E8AEBD4-7664-499A-91C0-152B0B3FF28E}"/>
    <cellStyle name="Normal 7 2" xfId="44" xr:uid="{7E8AEBD4-7664-499A-91C0-152B0B3FF28E}"/>
    <cellStyle name="Normal 8" xfId="32" xr:uid="{FB2390A8-81AC-45FD-BBA5-030131AD537A}"/>
    <cellStyle name="Normal 8 2" xfId="45" xr:uid="{FB2390A8-81AC-45FD-BBA5-030131AD537A}"/>
    <cellStyle name="Normal 8 3" xfId="40" xr:uid="{FB2390A8-81AC-45FD-BBA5-030131AD537A}"/>
    <cellStyle name="Note 2" xfId="27" xr:uid="{00000000-0005-0000-0000-000015000000}"/>
    <cellStyle name="Note 3" xfId="28" xr:uid="{00000000-0005-0000-0000-000016000000}"/>
    <cellStyle name="Per cent" xfId="8" builtinId="5"/>
    <cellStyle name="Percent 2" xfId="3" xr:uid="{00000000-0005-0000-0000-000018000000}"/>
    <cellStyle name="Percent 2 2" xfId="11" xr:uid="{00000000-0005-0000-0000-000019000000}"/>
    <cellStyle name="Percent 3" xfId="9" xr:uid="{00000000-0005-0000-0000-00001A000000}"/>
    <cellStyle name="Percent 3 2" xfId="21" xr:uid="{00000000-0005-0000-0000-00001B000000}"/>
    <cellStyle name="Percent 3 2 2" xfId="22" xr:uid="{00000000-0005-0000-0000-00001C000000}"/>
    <cellStyle name="Percent 3 2 2 2" xfId="42" xr:uid="{00000000-0005-0000-0000-00001C000000}"/>
    <cellStyle name="Percent 3 3" xfId="20" xr:uid="{00000000-0005-0000-0000-00001D000000}"/>
    <cellStyle name="Percent 3 3 2" xfId="41" xr:uid="{00000000-0005-0000-0000-00001D000000}"/>
    <cellStyle name="Percent 4" xfId="23" xr:uid="{00000000-0005-0000-0000-00001E000000}"/>
    <cellStyle name="Percent 5" xfId="24" xr:uid="{00000000-0005-0000-0000-00001F000000}"/>
  </cellStyles>
  <dxfs count="0"/>
  <tableStyles count="0" defaultTableStyle="TableStyleMedium2" defaultPivotStyle="PivotStyleLight16"/>
  <colors>
    <mruColors>
      <color rgb="FF84919C"/>
      <color rgb="FF005EB8"/>
      <color rgb="FF424D58"/>
      <color rgb="FF0000FF"/>
      <color rgb="FF003350"/>
      <color rgb="FF003360"/>
      <color rgb="FFD8E0E8"/>
      <color rgb="FFDFFED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2.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1.xml"/><Relationship Id="rId29" Type="http://schemas.openxmlformats.org/officeDocument/2006/relationships/customXml" Target="../customXml/item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28" Type="http://schemas.openxmlformats.org/officeDocument/2006/relationships/customXml" Target="../customXml/item4.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 Id="rId27" Type="http://schemas.openxmlformats.org/officeDocument/2006/relationships/customXml" Target="../customXml/item3.xml"/><Relationship Id="rId30" Type="http://schemas.openxmlformats.org/officeDocument/2006/relationships/customXml" Target="../customXml/item6.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1" Type="http://schemas.openxmlformats.org/officeDocument/2006/relationships/image" Target="../media/image2.png"/></Relationships>
</file>

<file path=xl/drawings/_rels/drawing9.xml.rels><?xml version="1.0" encoding="UTF-8" standalone="yes"?>
<Relationships xmlns="http://schemas.openxmlformats.org/package/2006/relationships"><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1" Type="http://schemas.openxmlformats.org/officeDocument/2006/relationships/image" Target="../media/image2.png"/></Relationships>
</file>

<file path=xl/drawings/_rels/drawing11.xml.rels><?xml version="1.0" encoding="UTF-8" standalone="yes"?>
<Relationships xmlns="http://schemas.openxmlformats.org/package/2006/relationships"><Relationship Id="rId1" Type="http://schemas.openxmlformats.org/officeDocument/2006/relationships/image" Target="../media/image2.png"/></Relationships>
</file>

<file path=xl/drawings/_rels/drawing12.xml.rels><?xml version="1.0" encoding="UTF-8" standalone="yes"?>
<Relationships xmlns="http://schemas.openxmlformats.org/package/2006/relationships"><Relationship Id="rId1" Type="http://schemas.openxmlformats.org/officeDocument/2006/relationships/image" Target="../media/image2.png"/></Relationships>
</file>

<file path=xl/drawings/_rels/drawing13.xml.rels><?xml version="1.0" encoding="UTF-8" standalone="yes"?>
<Relationships xmlns="http://schemas.openxmlformats.org/package/2006/relationships"><Relationship Id="rId1" Type="http://schemas.openxmlformats.org/officeDocument/2006/relationships/image" Target="../media/image2.png"/></Relationships>
</file>

<file path=xl/drawings/_rels/drawing14.xml.rels><?xml version="1.0" encoding="UTF-8" standalone="yes"?>
<Relationships xmlns="http://schemas.openxmlformats.org/package/2006/relationships"><Relationship Id="rId1" Type="http://schemas.openxmlformats.org/officeDocument/2006/relationships/image" Target="../media/image2.png"/></Relationships>
</file>

<file path=xl/drawings/_rels/drawing15.xml.rels><?xml version="1.0" encoding="UTF-8" standalone="yes"?>
<Relationships xmlns="http://schemas.openxmlformats.org/package/2006/relationships"><Relationship Id="rId1" Type="http://schemas.openxmlformats.org/officeDocument/2006/relationships/image" Target="../media/image2.png"/></Relationships>
</file>

<file path=xl/drawings/_rels/drawing16.xml.rels><?xml version="1.0" encoding="UTF-8" standalone="yes"?>
<Relationships xmlns="http://schemas.openxmlformats.org/package/2006/relationships"><Relationship Id="rId1" Type="http://schemas.openxmlformats.org/officeDocument/2006/relationships/image" Target="../media/image2.png"/></Relationships>
</file>

<file path=xl/drawings/_rels/drawing17.xml.rels><?xml version="1.0" encoding="UTF-8" standalone="yes"?>
<Relationships xmlns="http://schemas.openxmlformats.org/package/2006/relationships"><Relationship Id="rId1" Type="http://schemas.openxmlformats.org/officeDocument/2006/relationships/image" Target="../media/image2.png"/></Relationships>
</file>

<file path=xl/drawings/_rels/drawing18.xml.rels><?xml version="1.0" encoding="UTF-8" standalone="yes"?>
<Relationships xmlns="http://schemas.openxmlformats.org/package/2006/relationships"><Relationship Id="rId1" Type="http://schemas.openxmlformats.org/officeDocument/2006/relationships/image" Target="../media/image2.png"/></Relationships>
</file>

<file path=xl/drawings/_rels/drawing19.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xdr:from>
      <xdr:col>0</xdr:col>
      <xdr:colOff>0</xdr:colOff>
      <xdr:row>35</xdr:row>
      <xdr:rowOff>0</xdr:rowOff>
    </xdr:from>
    <xdr:to>
      <xdr:col>1</xdr:col>
      <xdr:colOff>374409</xdr:colOff>
      <xdr:row>35</xdr:row>
      <xdr:rowOff>428066</xdr:rowOff>
    </xdr:to>
    <xdr:pic>
      <xdr:nvPicPr>
        <xdr:cNvPr id="4" name="Picture 3" descr="48bf4cd158a94aebada082d9c5a61d4a">
          <a:extLst>
            <a:ext uri="{FF2B5EF4-FFF2-40B4-BE49-F238E27FC236}">
              <a16:creationId xmlns:a16="http://schemas.microsoft.com/office/drawing/2014/main" id="{00000000-0008-0000-0000-00000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667625"/>
          <a:ext cx="984009" cy="4280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5619571</xdr:colOff>
      <xdr:row>0</xdr:row>
      <xdr:rowOff>0</xdr:rowOff>
    </xdr:from>
    <xdr:to>
      <xdr:col>2</xdr:col>
      <xdr:colOff>349250</xdr:colOff>
      <xdr:row>7</xdr:row>
      <xdr:rowOff>161132</xdr:rowOff>
    </xdr:to>
    <xdr:pic>
      <xdr:nvPicPr>
        <xdr:cNvPr id="2" name="Picture 1" descr="NHS England logo">
          <a:extLst>
            <a:ext uri="{FF2B5EF4-FFF2-40B4-BE49-F238E27FC236}">
              <a16:creationId xmlns:a16="http://schemas.microsoft.com/office/drawing/2014/main" id="{4D7A3E3C-09E0-4EF0-A91B-EF3BA1F2FFE8}"/>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xdr:blipFill>
      <xdr:spPr>
        <a:xfrm>
          <a:off x="6229171" y="0"/>
          <a:ext cx="1540054" cy="142795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600075</xdr:colOff>
      <xdr:row>10</xdr:row>
      <xdr:rowOff>38100</xdr:rowOff>
    </xdr:from>
    <xdr:to>
      <xdr:col>5</xdr:col>
      <xdr:colOff>560066</xdr:colOff>
      <xdr:row>13</xdr:row>
      <xdr:rowOff>0</xdr:rowOff>
    </xdr:to>
    <xdr:sp macro="" textlink="">
      <xdr:nvSpPr>
        <xdr:cNvPr id="5" name="Text Box 3">
          <a:extLst>
            <a:ext uri="{FF2B5EF4-FFF2-40B4-BE49-F238E27FC236}">
              <a16:creationId xmlns:a16="http://schemas.microsoft.com/office/drawing/2014/main" id="{00000000-0008-0000-0100-000005000000}"/>
            </a:ext>
          </a:extLst>
        </xdr:cNvPr>
        <xdr:cNvSpPr txBox="1">
          <a:spLocks noChangeArrowheads="1"/>
        </xdr:cNvSpPr>
      </xdr:nvSpPr>
      <xdr:spPr bwMode="auto">
        <a:xfrm>
          <a:off x="600075" y="1495425"/>
          <a:ext cx="10199366" cy="75247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FF" mc:Ignorable="a14" a14:legacySpreadsheetColorIndex="12"/>
              </a:solidFill>
              <a:miter lim="800000"/>
              <a:headEnd/>
              <a:tailEnd/>
            </a14:hiddenLine>
          </a:ext>
        </a:extLst>
      </xdr:spPr>
      <xdr:txBody>
        <a:bodyPr vertOverflow="clip" wrap="square" lIns="82296" tIns="68580" rIns="0" bIns="0" anchor="t" upright="1"/>
        <a:lstStyle/>
        <a:p>
          <a:pPr algn="l" rtl="0">
            <a:defRPr sz="1000"/>
          </a:pPr>
          <a:r>
            <a:rPr lang="en-GB" sz="3500" b="0" i="0" u="none" strike="noStrike" baseline="0">
              <a:solidFill>
                <a:srgbClr val="003360"/>
              </a:solidFill>
              <a:latin typeface="+mn-lt"/>
              <a:cs typeface="Arial"/>
            </a:rPr>
            <a:t>Contents</a:t>
          </a:r>
        </a:p>
        <a:p>
          <a:pPr algn="l" rtl="0">
            <a:defRPr sz="1000"/>
          </a:pPr>
          <a:endParaRPr lang="en-GB" sz="4000" b="0" i="0" u="none" strike="noStrike" baseline="0">
            <a:solidFill>
              <a:srgbClr val="008080"/>
            </a:solidFill>
            <a:latin typeface="Arial"/>
            <a:cs typeface="Arial"/>
          </a:endParaRPr>
        </a:p>
        <a:p>
          <a:pPr algn="l" rtl="0">
            <a:defRPr sz="1000"/>
          </a:pPr>
          <a:endParaRPr lang="en-GB" sz="4000" b="0" i="0" u="none" strike="noStrike" baseline="0">
            <a:solidFill>
              <a:srgbClr val="008080"/>
            </a:solidFill>
            <a:latin typeface="Arial"/>
            <a:cs typeface="Arial"/>
          </a:endParaRPr>
        </a:p>
      </xdr:txBody>
    </xdr:sp>
    <xdr:clientData/>
  </xdr:twoCellAnchor>
  <xdr:twoCellAnchor editAs="oneCell">
    <xdr:from>
      <xdr:col>3</xdr:col>
      <xdr:colOff>266700</xdr:colOff>
      <xdr:row>0</xdr:row>
      <xdr:rowOff>0</xdr:rowOff>
    </xdr:from>
    <xdr:to>
      <xdr:col>6</xdr:col>
      <xdr:colOff>168454</xdr:colOff>
      <xdr:row>8</xdr:row>
      <xdr:rowOff>132557</xdr:rowOff>
    </xdr:to>
    <xdr:pic>
      <xdr:nvPicPr>
        <xdr:cNvPr id="2" name="Picture 1" descr="NHS England logo">
          <a:extLst>
            <a:ext uri="{FF2B5EF4-FFF2-40B4-BE49-F238E27FC236}">
              <a16:creationId xmlns:a16="http://schemas.microsoft.com/office/drawing/2014/main" id="{89A14DDF-129E-4808-B6C7-7113FCDD188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9715500" y="0"/>
          <a:ext cx="1816279" cy="1427957"/>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3</xdr:col>
      <xdr:colOff>1016000</xdr:colOff>
      <xdr:row>0</xdr:row>
      <xdr:rowOff>0</xdr:rowOff>
    </xdr:from>
    <xdr:to>
      <xdr:col>5</xdr:col>
      <xdr:colOff>435154</xdr:colOff>
      <xdr:row>8</xdr:row>
      <xdr:rowOff>116682</xdr:rowOff>
    </xdr:to>
    <xdr:pic>
      <xdr:nvPicPr>
        <xdr:cNvPr id="2" name="Picture 1" descr="NHS England logo">
          <a:extLst>
            <a:ext uri="{FF2B5EF4-FFF2-40B4-BE49-F238E27FC236}">
              <a16:creationId xmlns:a16="http://schemas.microsoft.com/office/drawing/2014/main" id="{E5642F74-973F-4DB6-92CA-9C63FB8E64D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4892675" y="0"/>
          <a:ext cx="1819454" cy="1431132"/>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3</xdr:col>
      <xdr:colOff>1057835</xdr:colOff>
      <xdr:row>0</xdr:row>
      <xdr:rowOff>0</xdr:rowOff>
    </xdr:from>
    <xdr:to>
      <xdr:col>5</xdr:col>
      <xdr:colOff>473814</xdr:colOff>
      <xdr:row>8</xdr:row>
      <xdr:rowOff>116682</xdr:rowOff>
    </xdr:to>
    <xdr:pic>
      <xdr:nvPicPr>
        <xdr:cNvPr id="2" name="Picture 1" descr="NHS England logo">
          <a:extLst>
            <a:ext uri="{FF2B5EF4-FFF2-40B4-BE49-F238E27FC236}">
              <a16:creationId xmlns:a16="http://schemas.microsoft.com/office/drawing/2014/main" id="{234AC787-EE44-4F20-B9FE-ADC63FA63CD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5448860" y="0"/>
          <a:ext cx="1816279" cy="1431132"/>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12</xdr:col>
      <xdr:colOff>638573</xdr:colOff>
      <xdr:row>0</xdr:row>
      <xdr:rowOff>0</xdr:rowOff>
    </xdr:from>
    <xdr:to>
      <xdr:col>15</xdr:col>
      <xdr:colOff>302202</xdr:colOff>
      <xdr:row>8</xdr:row>
      <xdr:rowOff>103982</xdr:rowOff>
    </xdr:to>
    <xdr:pic>
      <xdr:nvPicPr>
        <xdr:cNvPr id="3" name="Picture 2" descr="NHS England logo">
          <a:extLst>
            <a:ext uri="{FF2B5EF4-FFF2-40B4-BE49-F238E27FC236}">
              <a16:creationId xmlns:a16="http://schemas.microsoft.com/office/drawing/2014/main" id="{E9FA2D6F-5706-435E-8BCC-581005C3DB0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14964173" y="0"/>
          <a:ext cx="1816279" cy="1424782"/>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7</xdr:col>
      <xdr:colOff>865281</xdr:colOff>
      <xdr:row>0</xdr:row>
      <xdr:rowOff>0</xdr:rowOff>
    </xdr:from>
    <xdr:to>
      <xdr:col>9</xdr:col>
      <xdr:colOff>408260</xdr:colOff>
      <xdr:row>8</xdr:row>
      <xdr:rowOff>116682</xdr:rowOff>
    </xdr:to>
    <xdr:pic>
      <xdr:nvPicPr>
        <xdr:cNvPr id="2" name="Picture 1" descr="NHS England logo">
          <a:extLst>
            <a:ext uri="{FF2B5EF4-FFF2-40B4-BE49-F238E27FC236}">
              <a16:creationId xmlns:a16="http://schemas.microsoft.com/office/drawing/2014/main" id="{065550E6-FB05-41AE-B626-0B99D9EE074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8666256" y="0"/>
          <a:ext cx="1813104" cy="1431132"/>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3</xdr:col>
      <xdr:colOff>1297638</xdr:colOff>
      <xdr:row>0</xdr:row>
      <xdr:rowOff>0</xdr:rowOff>
    </xdr:from>
    <xdr:to>
      <xdr:col>5</xdr:col>
      <xdr:colOff>383417</xdr:colOff>
      <xdr:row>8</xdr:row>
      <xdr:rowOff>116682</xdr:rowOff>
    </xdr:to>
    <xdr:pic>
      <xdr:nvPicPr>
        <xdr:cNvPr id="2" name="Picture 1" descr="NHS England logo">
          <a:extLst>
            <a:ext uri="{FF2B5EF4-FFF2-40B4-BE49-F238E27FC236}">
              <a16:creationId xmlns:a16="http://schemas.microsoft.com/office/drawing/2014/main" id="{55CE5087-758C-4B1F-B7A0-4B98812C3EF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5736288" y="0"/>
          <a:ext cx="1819454" cy="1431132"/>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3</xdr:col>
      <xdr:colOff>1208555</xdr:colOff>
      <xdr:row>0</xdr:row>
      <xdr:rowOff>0</xdr:rowOff>
    </xdr:from>
    <xdr:to>
      <xdr:col>5</xdr:col>
      <xdr:colOff>418159</xdr:colOff>
      <xdr:row>8</xdr:row>
      <xdr:rowOff>113507</xdr:rowOff>
    </xdr:to>
    <xdr:pic>
      <xdr:nvPicPr>
        <xdr:cNvPr id="2" name="Picture 1" descr="NHS England logo">
          <a:extLst>
            <a:ext uri="{FF2B5EF4-FFF2-40B4-BE49-F238E27FC236}">
              <a16:creationId xmlns:a16="http://schemas.microsoft.com/office/drawing/2014/main" id="{1E8E4D5C-950C-40E6-89A0-95A472183DD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6971180" y="0"/>
          <a:ext cx="1819454" cy="1427957"/>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3</xdr:col>
      <xdr:colOff>1126752</xdr:colOff>
      <xdr:row>0</xdr:row>
      <xdr:rowOff>0</xdr:rowOff>
    </xdr:from>
    <xdr:to>
      <xdr:col>5</xdr:col>
      <xdr:colOff>422081</xdr:colOff>
      <xdr:row>8</xdr:row>
      <xdr:rowOff>116682</xdr:rowOff>
    </xdr:to>
    <xdr:pic>
      <xdr:nvPicPr>
        <xdr:cNvPr id="2" name="Picture 1" descr="NHS England logo">
          <a:extLst>
            <a:ext uri="{FF2B5EF4-FFF2-40B4-BE49-F238E27FC236}">
              <a16:creationId xmlns:a16="http://schemas.microsoft.com/office/drawing/2014/main" id="{A3249DE5-142C-46BD-A5CD-17CF988EE0A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8070477" y="0"/>
          <a:ext cx="1819454" cy="1431132"/>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3</xdr:col>
      <xdr:colOff>1286263</xdr:colOff>
      <xdr:row>0</xdr:row>
      <xdr:rowOff>0</xdr:rowOff>
    </xdr:from>
    <xdr:to>
      <xdr:col>5</xdr:col>
      <xdr:colOff>378392</xdr:colOff>
      <xdr:row>8</xdr:row>
      <xdr:rowOff>116682</xdr:rowOff>
    </xdr:to>
    <xdr:pic>
      <xdr:nvPicPr>
        <xdr:cNvPr id="2" name="Picture 1" descr="NHS England logo">
          <a:extLst>
            <a:ext uri="{FF2B5EF4-FFF2-40B4-BE49-F238E27FC236}">
              <a16:creationId xmlns:a16="http://schemas.microsoft.com/office/drawing/2014/main" id="{69B14B84-A636-44B3-9422-97B68C09338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8153788" y="0"/>
          <a:ext cx="1816279" cy="1431132"/>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3</xdr:col>
      <xdr:colOff>1257300</xdr:colOff>
      <xdr:row>0</xdr:row>
      <xdr:rowOff>0</xdr:rowOff>
    </xdr:from>
    <xdr:to>
      <xdr:col>5</xdr:col>
      <xdr:colOff>387529</xdr:colOff>
      <xdr:row>8</xdr:row>
      <xdr:rowOff>113507</xdr:rowOff>
    </xdr:to>
    <xdr:pic>
      <xdr:nvPicPr>
        <xdr:cNvPr id="2" name="Picture 1" descr="NHS England logo">
          <a:extLst>
            <a:ext uri="{FF2B5EF4-FFF2-40B4-BE49-F238E27FC236}">
              <a16:creationId xmlns:a16="http://schemas.microsoft.com/office/drawing/2014/main" id="{E8739D88-EEE6-493E-81D3-A22259B79C8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8258175" y="0"/>
          <a:ext cx="1819454" cy="1427957"/>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3</xdr:col>
      <xdr:colOff>1323975</xdr:colOff>
      <xdr:row>0</xdr:row>
      <xdr:rowOff>0</xdr:rowOff>
    </xdr:from>
    <xdr:to>
      <xdr:col>5</xdr:col>
      <xdr:colOff>416104</xdr:colOff>
      <xdr:row>8</xdr:row>
      <xdr:rowOff>113507</xdr:rowOff>
    </xdr:to>
    <xdr:pic>
      <xdr:nvPicPr>
        <xdr:cNvPr id="2" name="Picture 1" descr="NHS England logo">
          <a:extLst>
            <a:ext uri="{FF2B5EF4-FFF2-40B4-BE49-F238E27FC236}">
              <a16:creationId xmlns:a16="http://schemas.microsoft.com/office/drawing/2014/main" id="{8BCEF359-F922-42B0-BD98-2DAF283D336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7620000" y="0"/>
          <a:ext cx="1816279" cy="1427957"/>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3</xdr:col>
      <xdr:colOff>1227792</xdr:colOff>
      <xdr:row>0</xdr:row>
      <xdr:rowOff>0</xdr:rowOff>
    </xdr:from>
    <xdr:to>
      <xdr:col>5</xdr:col>
      <xdr:colOff>364371</xdr:colOff>
      <xdr:row>8</xdr:row>
      <xdr:rowOff>103982</xdr:rowOff>
    </xdr:to>
    <xdr:pic>
      <xdr:nvPicPr>
        <xdr:cNvPr id="2" name="Picture 1" descr="NHS England logo">
          <a:extLst>
            <a:ext uri="{FF2B5EF4-FFF2-40B4-BE49-F238E27FC236}">
              <a16:creationId xmlns:a16="http://schemas.microsoft.com/office/drawing/2014/main" id="{EE71AB12-B9C8-4775-ADEF-D4123D699F0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8228667" y="0"/>
          <a:ext cx="1822629" cy="1424782"/>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6</xdr:col>
      <xdr:colOff>685611</xdr:colOff>
      <xdr:row>0</xdr:row>
      <xdr:rowOff>0</xdr:rowOff>
    </xdr:from>
    <xdr:to>
      <xdr:col>8</xdr:col>
      <xdr:colOff>412740</xdr:colOff>
      <xdr:row>8</xdr:row>
      <xdr:rowOff>116682</xdr:rowOff>
    </xdr:to>
    <xdr:pic>
      <xdr:nvPicPr>
        <xdr:cNvPr id="2" name="Picture 1" descr="NHS England logo">
          <a:extLst>
            <a:ext uri="{FF2B5EF4-FFF2-40B4-BE49-F238E27FC236}">
              <a16:creationId xmlns:a16="http://schemas.microsoft.com/office/drawing/2014/main" id="{8A0EB593-B005-41E7-A45D-BC543B928FB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8819961" y="0"/>
          <a:ext cx="1819454" cy="1431132"/>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11</xdr:col>
      <xdr:colOff>219075</xdr:colOff>
      <xdr:row>0</xdr:row>
      <xdr:rowOff>0</xdr:rowOff>
    </xdr:from>
    <xdr:to>
      <xdr:col>14</xdr:col>
      <xdr:colOff>66854</xdr:colOff>
      <xdr:row>8</xdr:row>
      <xdr:rowOff>116682</xdr:rowOff>
    </xdr:to>
    <xdr:pic>
      <xdr:nvPicPr>
        <xdr:cNvPr id="2" name="Picture 1" descr="NHS England logo">
          <a:extLst>
            <a:ext uri="{FF2B5EF4-FFF2-40B4-BE49-F238E27FC236}">
              <a16:creationId xmlns:a16="http://schemas.microsoft.com/office/drawing/2014/main" id="{83885A02-03F4-4CA3-A987-7C2BA0899A2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10534650" y="0"/>
          <a:ext cx="1816279" cy="1431132"/>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3</xdr:col>
      <xdr:colOff>1283259</xdr:colOff>
      <xdr:row>0</xdr:row>
      <xdr:rowOff>0</xdr:rowOff>
    </xdr:from>
    <xdr:to>
      <xdr:col>5</xdr:col>
      <xdr:colOff>378563</xdr:colOff>
      <xdr:row>8</xdr:row>
      <xdr:rowOff>123032</xdr:rowOff>
    </xdr:to>
    <xdr:pic>
      <xdr:nvPicPr>
        <xdr:cNvPr id="2" name="Picture 1" descr="NHS England logo">
          <a:extLst>
            <a:ext uri="{FF2B5EF4-FFF2-40B4-BE49-F238E27FC236}">
              <a16:creationId xmlns:a16="http://schemas.microsoft.com/office/drawing/2014/main" id="{9B67618D-4AF8-4D79-8154-9C740991D6D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7674534" y="0"/>
          <a:ext cx="1819454" cy="1434307"/>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3</xdr:col>
      <xdr:colOff>1276350</xdr:colOff>
      <xdr:row>0</xdr:row>
      <xdr:rowOff>0</xdr:rowOff>
    </xdr:from>
    <xdr:to>
      <xdr:col>5</xdr:col>
      <xdr:colOff>368479</xdr:colOff>
      <xdr:row>8</xdr:row>
      <xdr:rowOff>116682</xdr:rowOff>
    </xdr:to>
    <xdr:pic>
      <xdr:nvPicPr>
        <xdr:cNvPr id="2" name="Picture 1" descr="NHS England logo">
          <a:extLst>
            <a:ext uri="{FF2B5EF4-FFF2-40B4-BE49-F238E27FC236}">
              <a16:creationId xmlns:a16="http://schemas.microsoft.com/office/drawing/2014/main" id="{0AFC54F6-5366-4DB3-B350-0528E3455F5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7410450" y="0"/>
          <a:ext cx="1816279" cy="1431132"/>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5</xdr:col>
      <xdr:colOff>1297550</xdr:colOff>
      <xdr:row>0</xdr:row>
      <xdr:rowOff>0</xdr:rowOff>
    </xdr:from>
    <xdr:to>
      <xdr:col>7</xdr:col>
      <xdr:colOff>399000</xdr:colOff>
      <xdr:row>8</xdr:row>
      <xdr:rowOff>96505</xdr:rowOff>
    </xdr:to>
    <xdr:pic>
      <xdr:nvPicPr>
        <xdr:cNvPr id="2" name="Picture 1" descr="NHS England logo">
          <a:extLst>
            <a:ext uri="{FF2B5EF4-FFF2-40B4-BE49-F238E27FC236}">
              <a16:creationId xmlns:a16="http://schemas.microsoft.com/office/drawing/2014/main" id="{3666A207-1173-434D-B7B5-CC4BDB95E5B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10095373" y="0"/>
          <a:ext cx="1825804" cy="1427957"/>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6</xdr:col>
      <xdr:colOff>571500</xdr:colOff>
      <xdr:row>0</xdr:row>
      <xdr:rowOff>0</xdr:rowOff>
    </xdr:from>
    <xdr:to>
      <xdr:col>8</xdr:col>
      <xdr:colOff>397054</xdr:colOff>
      <xdr:row>8</xdr:row>
      <xdr:rowOff>116682</xdr:rowOff>
    </xdr:to>
    <xdr:pic>
      <xdr:nvPicPr>
        <xdr:cNvPr id="2" name="Picture 1" descr="NHS England logo">
          <a:extLst>
            <a:ext uri="{FF2B5EF4-FFF2-40B4-BE49-F238E27FC236}">
              <a16:creationId xmlns:a16="http://schemas.microsoft.com/office/drawing/2014/main" id="{2EE47CAF-06CE-406D-A0DB-2910785F05D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8743950" y="0"/>
          <a:ext cx="1816279" cy="1431132"/>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www.hscic.gov.uk/Documents%20and%20Settings/Sarah.Thomson/Desktop/CC/Critical%20Care/CC%20Tables%20and%20Charts%20Raw%20Data.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ield Validity"/>
      <sheetName val="CC Unit Function"/>
      <sheetName val="CC Admission Type"/>
      <sheetName val="CC Admission Source"/>
      <sheetName val="CC Source Location"/>
      <sheetName val="CC Discharge Status"/>
      <sheetName val="CC Discharge Destination"/>
      <sheetName val="CC Discharge Location"/>
      <sheetName val="CC Unit Bed Config"/>
      <sheetName val="CC Start Discharge Time"/>
      <sheetName val="CC Gender"/>
      <sheetName val="CC Quinary Start Age"/>
      <sheetName val="CC Gender and Age"/>
      <sheetName val="CC IMD Group"/>
      <sheetName val="CC Quarter Month Day"/>
      <sheetName val="CC Support Days Raw"/>
      <sheetName val="CC Support Days Pivot"/>
      <sheetName val="CC HRG 3.5"/>
      <sheetName val="CC Duration"/>
      <sheetName val="Support Activities"/>
      <sheetName val="Best Match"/>
      <sheetName val="Basic Resp Support"/>
      <sheetName val="Neurological Support"/>
      <sheetName val="Adv Respiratory Support"/>
      <sheetName val="Basic Cardio Support"/>
      <sheetName val="Adv Cardio Support"/>
      <sheetName val="Dermatological Support"/>
      <sheetName val="Gastro Support"/>
      <sheetName val="Liver Support"/>
      <sheetName val="Renal Support"/>
    </sheetNames>
    <sheetDataSet>
      <sheetData sheetId="0"/>
      <sheetData sheetId="1">
        <row r="20">
          <cell r="A20">
            <v>1</v>
          </cell>
          <cell r="B20" t="str">
            <v>Non-specific, general adult critical care patients predominate</v>
          </cell>
          <cell r="C20" t="str">
            <v>Adult</v>
          </cell>
        </row>
        <row r="21">
          <cell r="A21">
            <v>2</v>
          </cell>
          <cell r="B21" t="str">
            <v>Surgical adult patients (unspecified specialty)</v>
          </cell>
          <cell r="C21" t="str">
            <v>Adult</v>
          </cell>
        </row>
        <row r="22">
          <cell r="A22">
            <v>3</v>
          </cell>
          <cell r="B22" t="str">
            <v>Medical adult patients (unspecified specialty)</v>
          </cell>
          <cell r="C22" t="str">
            <v>Adult</v>
          </cell>
        </row>
        <row r="23">
          <cell r="A23">
            <v>4</v>
          </cell>
          <cell r="B23" t="str">
            <v>Paediatric Intensive Care Unit (Paediatric critical care patients predominate)</v>
          </cell>
          <cell r="C23" t="str">
            <v>Paediatric</v>
          </cell>
        </row>
        <row r="24">
          <cell r="A24">
            <v>5</v>
          </cell>
          <cell r="B24" t="str">
            <v>Neurosciences adult patients predominate</v>
          </cell>
          <cell r="C24" t="str">
            <v>Adult</v>
          </cell>
        </row>
        <row r="25">
          <cell r="A25">
            <v>6</v>
          </cell>
          <cell r="B25" t="str">
            <v>Cardiac surgical adult patients predominate</v>
          </cell>
          <cell r="C25" t="str">
            <v>Adult</v>
          </cell>
        </row>
        <row r="26">
          <cell r="A26">
            <v>7</v>
          </cell>
          <cell r="B26" t="str">
            <v>Thoracic surgical adult patients predominate</v>
          </cell>
          <cell r="C26" t="str">
            <v>Adult</v>
          </cell>
        </row>
        <row r="27">
          <cell r="A27">
            <v>8</v>
          </cell>
          <cell r="B27" t="str">
            <v>Burns and plastic surgery adult patients predominate</v>
          </cell>
          <cell r="C27" t="str">
            <v>Adult</v>
          </cell>
        </row>
        <row r="28">
          <cell r="A28">
            <v>9</v>
          </cell>
          <cell r="B28" t="str">
            <v>Spinal adult patients predominate</v>
          </cell>
          <cell r="C28" t="str">
            <v>Adult</v>
          </cell>
        </row>
        <row r="29">
          <cell r="A29">
            <v>10</v>
          </cell>
          <cell r="B29" t="str">
            <v>Renal adult patients predominate</v>
          </cell>
          <cell r="C29" t="str">
            <v>Adult</v>
          </cell>
        </row>
        <row r="30">
          <cell r="A30">
            <v>11</v>
          </cell>
          <cell r="B30" t="str">
            <v>Liver adult patients predominate</v>
          </cell>
          <cell r="C30" t="str">
            <v>Adult</v>
          </cell>
        </row>
        <row r="31">
          <cell r="A31">
            <v>12</v>
          </cell>
          <cell r="B31" t="str">
            <v>Obstetric and gynaecology critical care patients predominate</v>
          </cell>
          <cell r="C31" t="str">
            <v>Adult</v>
          </cell>
        </row>
        <row r="32">
          <cell r="A32">
            <v>13</v>
          </cell>
          <cell r="B32" t="str">
            <v>Neonatal Intensive Care Unit (Neonatal critical care patients predominate)</v>
          </cell>
          <cell r="C32" t="str">
            <v>Neonatal</v>
          </cell>
        </row>
        <row r="33">
          <cell r="A33">
            <v>14</v>
          </cell>
          <cell r="B33" t="str">
            <v>Facility for Babies on a Neonatal Transitional Care Ward</v>
          </cell>
          <cell r="C33" t="str">
            <v>Neonatal</v>
          </cell>
        </row>
        <row r="34">
          <cell r="A34">
            <v>15</v>
          </cell>
          <cell r="B34" t="str">
            <v>Facility for Babies on a Maternity Ward</v>
          </cell>
          <cell r="C34" t="str">
            <v>Neonatal</v>
          </cell>
        </row>
        <row r="35">
          <cell r="A35">
            <v>16</v>
          </cell>
          <cell r="B35" t="str">
            <v>Ward for children and young people</v>
          </cell>
          <cell r="C35" t="str">
            <v>Paediatric</v>
          </cell>
        </row>
        <row r="36">
          <cell r="A36">
            <v>17</v>
          </cell>
          <cell r="B36" t="str">
            <v>High Dependency Unit for children and young people</v>
          </cell>
          <cell r="C36" t="str">
            <v>Paediatric</v>
          </cell>
        </row>
        <row r="37">
          <cell r="A37">
            <v>18</v>
          </cell>
          <cell r="B37" t="str">
            <v>Renal Unit for children and young people</v>
          </cell>
          <cell r="C37" t="str">
            <v>Paediatric</v>
          </cell>
        </row>
        <row r="38">
          <cell r="A38">
            <v>19</v>
          </cell>
          <cell r="B38" t="str">
            <v>Burns Unit for children and young people</v>
          </cell>
          <cell r="C38" t="str">
            <v>Paediatric</v>
          </cell>
        </row>
        <row r="39">
          <cell r="A39">
            <v>90</v>
          </cell>
          <cell r="B39" t="str">
            <v>non standard location using a ward area</v>
          </cell>
          <cell r="C39" t="str">
            <v>Adult</v>
          </cell>
        </row>
        <row r="40">
          <cell r="A40">
            <v>91</v>
          </cell>
          <cell r="B40" t="str">
            <v>non standard location using the operating department</v>
          </cell>
          <cell r="C40" t="str">
            <v>Other</v>
          </cell>
        </row>
        <row r="41">
          <cell r="A41">
            <v>92</v>
          </cell>
          <cell r="B41" t="str">
            <v>Non standard location using the operating department for children and young people</v>
          </cell>
          <cell r="C41" t="str">
            <v>Paediatric</v>
          </cell>
        </row>
      </sheetData>
      <sheetData sheetId="2"/>
      <sheetData sheetId="3">
        <row r="16">
          <cell r="A16">
            <v>1</v>
          </cell>
          <cell r="B16" t="str">
            <v>Same NHS hospital site</v>
          </cell>
        </row>
        <row r="17">
          <cell r="A17">
            <v>2</v>
          </cell>
          <cell r="B17" t="str">
            <v>Other NHS hospital site (same or different NHS Trust)</v>
          </cell>
        </row>
        <row r="18">
          <cell r="A18">
            <v>3</v>
          </cell>
          <cell r="B18" t="str">
            <v>Independent Hospital Provider in the UK</v>
          </cell>
        </row>
        <row r="19">
          <cell r="A19">
            <v>4</v>
          </cell>
          <cell r="B19" t="str">
            <v>Non-hospital source within the UK (e.g. home)</v>
          </cell>
        </row>
        <row r="20">
          <cell r="A20">
            <v>5</v>
          </cell>
          <cell r="B20" t="str">
            <v>Non UK source such as repatriation, military personnel or foreign national</v>
          </cell>
        </row>
      </sheetData>
      <sheetData sheetId="4">
        <row r="21">
          <cell r="A21">
            <v>1</v>
          </cell>
          <cell r="B21" t="str">
            <v>Theatre and Recovery (following surgical and/or anaesthetic procedure)</v>
          </cell>
        </row>
        <row r="22">
          <cell r="A22">
            <v>2</v>
          </cell>
          <cell r="B22" t="str">
            <v>Recovery only (when used to provide temporary critical care facility)</v>
          </cell>
        </row>
        <row r="23">
          <cell r="A23">
            <v>3</v>
          </cell>
          <cell r="B23" t="str">
            <v>Other Ward (not critical care)</v>
          </cell>
        </row>
        <row r="24">
          <cell r="A24">
            <v>4</v>
          </cell>
          <cell r="B24" t="str">
            <v>Imaging department</v>
          </cell>
        </row>
        <row r="25">
          <cell r="A25">
            <v>5</v>
          </cell>
          <cell r="B25" t="str">
            <v>Accident and emergency</v>
          </cell>
        </row>
        <row r="26">
          <cell r="A26">
            <v>6</v>
          </cell>
          <cell r="B26" t="str">
            <v>Other intermediate care or specialist treatment areas including endoscopy units and catheter suites</v>
          </cell>
        </row>
        <row r="27">
          <cell r="A27">
            <v>7</v>
          </cell>
          <cell r="B27" t="str">
            <v>Obstetrics area</v>
          </cell>
        </row>
        <row r="28">
          <cell r="A28">
            <v>8</v>
          </cell>
          <cell r="B28" t="str">
            <v>Clinic</v>
          </cell>
        </row>
        <row r="29">
          <cell r="A29">
            <v>9</v>
          </cell>
          <cell r="B29" t="str">
            <v>Home or other residence (including nursing home, H.M. Prison or other residential care)</v>
          </cell>
        </row>
        <row r="30">
          <cell r="A30">
            <v>10</v>
          </cell>
          <cell r="B30" t="str">
            <v>Adult level three critical care bed (ICU bed)</v>
          </cell>
        </row>
        <row r="31">
          <cell r="A31">
            <v>11</v>
          </cell>
          <cell r="B31" t="str">
            <v>Adult level two critical care bed (HDU bed)</v>
          </cell>
        </row>
        <row r="32">
          <cell r="A32">
            <v>12</v>
          </cell>
          <cell r="B32" t="str">
            <v>Paediatric critical care area (neonatal and paediatric care)</v>
          </cell>
        </row>
      </sheetData>
      <sheetData sheetId="5">
        <row r="21">
          <cell r="A21">
            <v>1</v>
          </cell>
          <cell r="B21" t="str">
            <v>Fully ready for discharge</v>
          </cell>
        </row>
        <row r="22">
          <cell r="A22">
            <v>2</v>
          </cell>
          <cell r="B22" t="str">
            <v>Discharge for palliative care</v>
          </cell>
        </row>
        <row r="23">
          <cell r="A23">
            <v>3</v>
          </cell>
          <cell r="B23" t="str">
            <v>Early discharge due to shortage of critical care beds</v>
          </cell>
        </row>
        <row r="24">
          <cell r="A24">
            <v>4</v>
          </cell>
          <cell r="B24" t="str">
            <v>Delayed discharge due to shortage of other ward beds</v>
          </cell>
        </row>
        <row r="25">
          <cell r="A25">
            <v>5</v>
          </cell>
          <cell r="B25" t="str">
            <v>Current level of care continuing in another location</v>
          </cell>
        </row>
        <row r="26">
          <cell r="A26">
            <v>6</v>
          </cell>
          <cell r="B26" t="str">
            <v>More specialised care in another location</v>
          </cell>
        </row>
        <row r="27">
          <cell r="A27">
            <v>7</v>
          </cell>
          <cell r="B27" t="str">
            <v>Self discharge against medical advice</v>
          </cell>
        </row>
        <row r="28">
          <cell r="A28">
            <v>8</v>
          </cell>
          <cell r="B28" t="str">
            <v>Patient died (no organs donated)</v>
          </cell>
        </row>
        <row r="29">
          <cell r="A29">
            <v>9</v>
          </cell>
          <cell r="B29" t="str">
            <v>Patient died and became heart beating organ donor for heart, lungs, kidney, liver or other solid internal organ.</v>
          </cell>
        </row>
        <row r="30">
          <cell r="A30">
            <v>10</v>
          </cell>
          <cell r="B30" t="str">
            <v>Patient died and provided cadaveric tissue donation</v>
          </cell>
        </row>
      </sheetData>
      <sheetData sheetId="6">
        <row r="16">
          <cell r="A16">
            <v>1</v>
          </cell>
          <cell r="B16" t="str">
            <v>Same NHS hospital site</v>
          </cell>
        </row>
        <row r="17">
          <cell r="A17">
            <v>2</v>
          </cell>
          <cell r="B17" t="str">
            <v>Other NHS hospital site (can be same Trust or a different NHS Trust)</v>
          </cell>
        </row>
        <row r="18">
          <cell r="A18">
            <v>3</v>
          </cell>
          <cell r="B18" t="str">
            <v>Independent Hospital Provider in the UK</v>
          </cell>
        </row>
        <row r="19">
          <cell r="A19">
            <v>4</v>
          </cell>
          <cell r="B19" t="str">
            <v>Non-hospital destination within the UK (e.g. home as coded in Location)</v>
          </cell>
        </row>
        <row r="20">
          <cell r="A20">
            <v>5</v>
          </cell>
          <cell r="B20" t="str">
            <v>Non United Kingdom destination (e.g. repatriation)</v>
          </cell>
        </row>
        <row r="21">
          <cell r="A21">
            <v>6</v>
          </cell>
          <cell r="B21" t="str">
            <v>No discharge destination, patient died in unit</v>
          </cell>
        </row>
      </sheetData>
      <sheetData sheetId="7">
        <row r="19">
          <cell r="A19">
            <v>1</v>
          </cell>
          <cell r="B19" t="str">
            <v>Ward</v>
          </cell>
        </row>
        <row r="20">
          <cell r="A20">
            <v>2</v>
          </cell>
          <cell r="B20" t="str">
            <v>Recovery only (when used to provide temporary critical care facility)</v>
          </cell>
        </row>
        <row r="21">
          <cell r="A21">
            <v>3</v>
          </cell>
          <cell r="B21" t="str">
            <v>Other intermediate care or specialised treatment area but excluding temporary visits en route, e.g. imaging, endoscopy, catheter suites and operating departments.</v>
          </cell>
        </row>
        <row r="22">
          <cell r="A22">
            <v>4</v>
          </cell>
          <cell r="B22" t="str">
            <v>Adult level three critical care bed (e.g. in a flexibly configured unit)</v>
          </cell>
        </row>
        <row r="23">
          <cell r="A23">
            <v>5</v>
          </cell>
          <cell r="B23" t="str">
            <v>Adult level two critical care bed (e.g. in a flexibly configured unit)</v>
          </cell>
        </row>
        <row r="24">
          <cell r="A24">
            <v>6</v>
          </cell>
          <cell r="B24" t="str">
            <v>No discharge location, patient died in unit</v>
          </cell>
        </row>
        <row r="25">
          <cell r="A25">
            <v>7</v>
          </cell>
          <cell r="B25" t="str">
            <v>Obstetrics area</v>
          </cell>
        </row>
        <row r="26">
          <cell r="A26">
            <v>8</v>
          </cell>
          <cell r="B26" t="str">
            <v>Paediatric critical care area (neonatal and paediatric care)</v>
          </cell>
        </row>
        <row r="27">
          <cell r="A27">
            <v>9</v>
          </cell>
          <cell r="B27" t="str">
            <v>Home or other residence (e.g. nursing home, H.M. Prison, residential care)</v>
          </cell>
        </row>
        <row r="28">
          <cell r="A28">
            <v>10</v>
          </cell>
          <cell r="B28" t="str">
            <v>Other non-hospital location</v>
          </cell>
        </row>
      </sheetData>
      <sheetData sheetId="8">
        <row r="13">
          <cell r="A13">
            <v>2</v>
          </cell>
          <cell r="B13" t="str">
            <v>Level 2 beds only where patients require more detailed observation or intervention including support for a single failing organ system or post-operative care and those 'stepping down' from higher levels of care</v>
          </cell>
        </row>
        <row r="14">
          <cell r="A14">
            <v>3</v>
          </cell>
          <cell r="B14" t="str">
            <v>Level 3 beds only. Level 3 care is defined as patients needing advanced respiratory support alone or support of at least two organ systems. Note basic respiratory and basic cardiovascular support occurring on one day count as one organ. This level include</v>
          </cell>
        </row>
        <row r="15">
          <cell r="A15">
            <v>5</v>
          </cell>
          <cell r="B15" t="str">
            <v>Flexible critical care beds where there is a mix of level 2 and level 3 beds</v>
          </cell>
        </row>
        <row r="16">
          <cell r="A16">
            <v>90</v>
          </cell>
          <cell r="B16" t="str">
            <v>Temporary use of non critical care bed</v>
          </cell>
        </row>
      </sheetData>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digital.nhs.uk/data-and-information/publications/statistical/hospital-admitted-patient-care-activity/supporting-information" TargetMode="External"/><Relationship Id="rId3" Type="http://schemas.openxmlformats.org/officeDocument/2006/relationships/hyperlink" Target="http://www.nationalarchives.gov.uk/doc/open-government-licence" TargetMode="External"/><Relationship Id="rId7" Type="http://schemas.openxmlformats.org/officeDocument/2006/relationships/hyperlink" Target="https://digital.nhs.uk/data-and-information/publications/statistical/hospital-admitted-patient-care-activity/2023-24" TargetMode="External"/><Relationship Id="rId2" Type="http://schemas.openxmlformats.org/officeDocument/2006/relationships/hyperlink" Target="mailto:psi@nationalarchives.gsi.gov.uk" TargetMode="External"/><Relationship Id="rId1" Type="http://schemas.openxmlformats.org/officeDocument/2006/relationships/hyperlink" Target="mailto:psi@nationalarchives.gsi.gov.uk" TargetMode="External"/><Relationship Id="rId6" Type="http://schemas.openxmlformats.org/officeDocument/2006/relationships/hyperlink" Target="https://digital.nhs.uk/data-and-information/data-tools-and-services/data-services/hospital-episode-statistics" TargetMode="External"/><Relationship Id="rId5" Type="http://schemas.openxmlformats.org/officeDocument/2006/relationships/hyperlink" Target="https://digital.nhs.uk/data-and-information/data-tools-and-services/data-services/hospital-episode-statistics/hospital-episode-statistics-data-dictionary" TargetMode="External"/><Relationship Id="rId10" Type="http://schemas.openxmlformats.org/officeDocument/2006/relationships/drawing" Target="../drawings/drawing1.xml"/><Relationship Id="rId4" Type="http://schemas.openxmlformats.org/officeDocument/2006/relationships/hyperlink" Target="http://www.nationalarchives.gov.uk/doc/open-government-licence" TargetMode="External"/><Relationship Id="rId9"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printerSettings" Target="../printerSettings/printerSettings7.bin"/><Relationship Id="rId1" Type="http://schemas.openxmlformats.org/officeDocument/2006/relationships/hyperlink" Target="http://www.gov.uk/government/organisations/department-for-communities-and-local-government/series/english-indices-of-deprivation" TargetMode="Externa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3" Type="http://schemas.openxmlformats.org/officeDocument/2006/relationships/drawing" Target="../drawings/drawing14.xml"/><Relationship Id="rId2" Type="http://schemas.openxmlformats.org/officeDocument/2006/relationships/printerSettings" Target="../printerSettings/printerSettings14.bin"/><Relationship Id="rId1" Type="http://schemas.openxmlformats.org/officeDocument/2006/relationships/hyperlink" Target="https://digital.nhs.uk/binaries/content/assets/legacy/pdf/n/d/hrg4__201718_local_payment_grouper_summary_of_changes_v1.2.pdf" TargetMode="Externa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1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8:I48"/>
  <sheetViews>
    <sheetView showGridLines="0" tabSelected="1" workbookViewId="0">
      <selection activeCell="A15" sqref="A15:B15"/>
    </sheetView>
  </sheetViews>
  <sheetFormatPr defaultColWidth="9.140625" defaultRowHeight="14.25" x14ac:dyDescent="0.2"/>
  <cols>
    <col min="1" max="1" width="9.140625" style="72"/>
    <col min="2" max="2" width="102.140625" style="72" customWidth="1"/>
    <col min="3" max="3" width="12.5703125" style="72" customWidth="1"/>
    <col min="4" max="16384" width="9.140625" style="72"/>
  </cols>
  <sheetData>
    <row r="8" spans="1:4" ht="34.5" x14ac:dyDescent="0.5">
      <c r="A8" s="347" t="s">
        <v>541</v>
      </c>
      <c r="B8" s="347"/>
    </row>
    <row r="9" spans="1:4" ht="26.25" x14ac:dyDescent="0.4">
      <c r="A9" s="97" t="s">
        <v>222</v>
      </c>
      <c r="B9" s="97"/>
    </row>
    <row r="10" spans="1:4" x14ac:dyDescent="0.2">
      <c r="A10" s="348" t="s">
        <v>542</v>
      </c>
      <c r="B10" s="348"/>
      <c r="C10" s="323"/>
    </row>
    <row r="11" spans="1:4" x14ac:dyDescent="0.2">
      <c r="A11" s="342" t="s">
        <v>536</v>
      </c>
      <c r="B11" s="341"/>
      <c r="C11" s="341"/>
    </row>
    <row r="12" spans="1:4" x14ac:dyDescent="0.2">
      <c r="A12" s="166" t="s">
        <v>537</v>
      </c>
      <c r="B12" s="324"/>
      <c r="C12" s="324"/>
    </row>
    <row r="14" spans="1:4" ht="15" x14ac:dyDescent="0.25">
      <c r="A14" s="73" t="s">
        <v>205</v>
      </c>
    </row>
    <row r="15" spans="1:4" ht="68.25" customHeight="1" x14ac:dyDescent="0.2">
      <c r="A15" s="350" t="s">
        <v>258</v>
      </c>
      <c r="B15" s="350"/>
      <c r="C15" s="152"/>
      <c r="D15" s="152"/>
    </row>
    <row r="16" spans="1:4" x14ac:dyDescent="0.2">
      <c r="A16" s="152"/>
      <c r="B16" s="152"/>
      <c r="C16" s="152"/>
      <c r="D16" s="152"/>
    </row>
    <row r="17" spans="1:4" x14ac:dyDescent="0.2">
      <c r="A17" s="152" t="s">
        <v>223</v>
      </c>
      <c r="B17" s="152"/>
      <c r="C17" s="152"/>
      <c r="D17" s="152"/>
    </row>
    <row r="18" spans="1:4" x14ac:dyDescent="0.2">
      <c r="A18" s="152"/>
      <c r="B18" s="152"/>
      <c r="C18" s="152"/>
      <c r="D18" s="152"/>
    </row>
    <row r="19" spans="1:4" x14ac:dyDescent="0.2">
      <c r="A19" s="351"/>
      <c r="B19" s="351"/>
      <c r="C19" s="152"/>
      <c r="D19" s="152"/>
    </row>
    <row r="20" spans="1:4" ht="12.95" customHeight="1" x14ac:dyDescent="0.2">
      <c r="A20" s="338"/>
      <c r="B20" s="338"/>
      <c r="C20" s="152"/>
      <c r="D20" s="152"/>
    </row>
    <row r="21" spans="1:4" x14ac:dyDescent="0.2">
      <c r="A21" s="156" t="s">
        <v>224</v>
      </c>
      <c r="B21" s="152"/>
      <c r="C21" s="152"/>
      <c r="D21" s="152"/>
    </row>
    <row r="22" spans="1:4" x14ac:dyDescent="0.2">
      <c r="A22" s="152" t="s">
        <v>225</v>
      </c>
      <c r="B22" s="152"/>
      <c r="C22" s="152"/>
      <c r="D22" s="152"/>
    </row>
    <row r="23" spans="1:4" ht="15" x14ac:dyDescent="0.25">
      <c r="A23" s="157" t="s">
        <v>250</v>
      </c>
      <c r="B23"/>
      <c r="C23" s="152"/>
      <c r="D23" s="152"/>
    </row>
    <row r="24" spans="1:4" ht="15" x14ac:dyDescent="0.25">
      <c r="A24" s="152" t="s">
        <v>226</v>
      </c>
      <c r="B24"/>
      <c r="C24" s="152"/>
      <c r="D24" s="152"/>
    </row>
    <row r="25" spans="1:4" ht="15" x14ac:dyDescent="0.25">
      <c r="A25" s="157" t="s">
        <v>232</v>
      </c>
      <c r="B25"/>
      <c r="C25" s="152"/>
      <c r="D25" s="152"/>
    </row>
    <row r="26" spans="1:4" x14ac:dyDescent="0.2">
      <c r="A26" s="152"/>
      <c r="B26" s="152"/>
      <c r="C26" s="152"/>
      <c r="D26" s="152"/>
    </row>
    <row r="27" spans="1:4" x14ac:dyDescent="0.2">
      <c r="A27" s="156" t="s">
        <v>227</v>
      </c>
      <c r="B27" s="152"/>
      <c r="C27" s="152"/>
      <c r="D27" s="152"/>
    </row>
    <row r="28" spans="1:4" x14ac:dyDescent="0.2">
      <c r="A28" s="152" t="s">
        <v>259</v>
      </c>
      <c r="B28" s="152"/>
      <c r="C28" s="152"/>
      <c r="D28" s="152"/>
    </row>
    <row r="29" spans="1:4" x14ac:dyDescent="0.2">
      <c r="A29" s="152" t="s">
        <v>543</v>
      </c>
      <c r="B29" s="152"/>
      <c r="C29" s="152"/>
      <c r="D29" s="152"/>
    </row>
    <row r="30" spans="1:4" x14ac:dyDescent="0.2">
      <c r="A30" s="152" t="s">
        <v>228</v>
      </c>
      <c r="B30" s="152"/>
      <c r="C30" s="152"/>
      <c r="D30" s="152"/>
    </row>
    <row r="31" spans="1:4" x14ac:dyDescent="0.2">
      <c r="A31" s="152" t="s">
        <v>229</v>
      </c>
      <c r="B31" s="152"/>
      <c r="C31" s="152"/>
      <c r="D31" s="152"/>
    </row>
    <row r="32" spans="1:4" x14ac:dyDescent="0.2">
      <c r="A32" s="152"/>
      <c r="B32" s="152"/>
      <c r="C32" s="152"/>
      <c r="D32" s="152"/>
    </row>
    <row r="33" spans="1:9" x14ac:dyDescent="0.2">
      <c r="A33" s="152" t="s">
        <v>260</v>
      </c>
      <c r="B33" s="152"/>
      <c r="C33" s="152"/>
      <c r="D33" s="152"/>
    </row>
    <row r="34" spans="1:9" x14ac:dyDescent="0.2">
      <c r="A34" s="152" t="s">
        <v>230</v>
      </c>
      <c r="B34" s="152"/>
      <c r="C34" s="152"/>
      <c r="D34" s="152"/>
    </row>
    <row r="35" spans="1:9" ht="18.75" customHeight="1" x14ac:dyDescent="0.2">
      <c r="A35" s="155" t="s">
        <v>544</v>
      </c>
      <c r="B35" s="152"/>
      <c r="C35" s="152"/>
      <c r="D35" s="152"/>
    </row>
    <row r="36" spans="1:9" ht="47.25" customHeight="1" x14ac:dyDescent="0.2">
      <c r="A36" s="152"/>
      <c r="B36" s="152"/>
      <c r="C36" s="152"/>
      <c r="D36" s="152"/>
    </row>
    <row r="37" spans="1:9" ht="78.75" customHeight="1" x14ac:dyDescent="0.2">
      <c r="A37" s="349" t="s">
        <v>231</v>
      </c>
      <c r="B37" s="349"/>
      <c r="C37" s="349"/>
      <c r="D37" s="349"/>
      <c r="E37" s="349"/>
      <c r="F37" s="349"/>
      <c r="G37" s="349"/>
      <c r="H37" s="349"/>
      <c r="I37" s="349"/>
    </row>
    <row r="38" spans="1:9" x14ac:dyDescent="0.2">
      <c r="A38" s="152"/>
      <c r="B38" s="152"/>
      <c r="C38" s="152"/>
      <c r="D38" s="152"/>
    </row>
    <row r="39" spans="1:9" x14ac:dyDescent="0.2">
      <c r="A39" s="152"/>
      <c r="B39" s="152"/>
      <c r="C39" s="152"/>
      <c r="D39" s="152"/>
    </row>
    <row r="40" spans="1:9" x14ac:dyDescent="0.2">
      <c r="A40" s="152"/>
      <c r="B40" s="152"/>
      <c r="C40" s="152"/>
      <c r="D40" s="152"/>
    </row>
    <row r="41" spans="1:9" x14ac:dyDescent="0.2">
      <c r="A41" s="152"/>
      <c r="B41" s="152"/>
      <c r="C41" s="152"/>
      <c r="D41" s="152"/>
    </row>
    <row r="42" spans="1:9" x14ac:dyDescent="0.2">
      <c r="A42" s="152"/>
      <c r="B42" s="152"/>
      <c r="C42" s="152"/>
      <c r="D42" s="152"/>
    </row>
    <row r="43" spans="1:9" x14ac:dyDescent="0.2">
      <c r="A43" s="152"/>
      <c r="B43" s="152"/>
      <c r="C43" s="152"/>
      <c r="D43" s="152"/>
    </row>
    <row r="44" spans="1:9" x14ac:dyDescent="0.2">
      <c r="A44" s="152"/>
      <c r="B44" s="152"/>
      <c r="C44" s="152"/>
      <c r="D44" s="152"/>
    </row>
    <row r="45" spans="1:9" x14ac:dyDescent="0.2">
      <c r="A45" s="152"/>
      <c r="B45" s="152"/>
      <c r="C45" s="152"/>
      <c r="D45" s="152"/>
    </row>
    <row r="46" spans="1:9" x14ac:dyDescent="0.2">
      <c r="A46" s="152"/>
      <c r="B46" s="152"/>
      <c r="C46" s="152"/>
      <c r="D46" s="152"/>
    </row>
    <row r="47" spans="1:9" x14ac:dyDescent="0.2">
      <c r="A47" s="152"/>
      <c r="B47" s="152"/>
      <c r="C47" s="152"/>
      <c r="D47" s="152"/>
    </row>
    <row r="48" spans="1:9" x14ac:dyDescent="0.2">
      <c r="A48" s="152"/>
      <c r="B48" s="152"/>
      <c r="C48" s="152"/>
      <c r="D48" s="152"/>
    </row>
  </sheetData>
  <mergeCells count="5">
    <mergeCell ref="A8:B8"/>
    <mergeCell ref="A10:B10"/>
    <mergeCell ref="A37:I37"/>
    <mergeCell ref="A15:B15"/>
    <mergeCell ref="A19:B19"/>
  </mergeCells>
  <hyperlinks>
    <hyperlink ref="B48" r:id="rId1" display="mailto:psi@nationalarchives.gsi.gov.uk" xr:uid="{00000000-0004-0000-0000-000000000000}"/>
    <hyperlink ref="A48" r:id="rId2" display="mailto:psi@nationalarchives.gsi.gov.uk" xr:uid="{00000000-0004-0000-0000-000001000000}"/>
    <hyperlink ref="B45" r:id="rId3" display="http://www.nationalarchives.gov.uk/doc/open-government-licence" xr:uid="{00000000-0004-0000-0000-000002000000}"/>
    <hyperlink ref="A45" r:id="rId4" display="http://www.nationalarchives.gov.uk/doc/open-government-licence" xr:uid="{00000000-0004-0000-0000-000003000000}"/>
    <hyperlink ref="A25" r:id="rId5" xr:uid="{00000000-0004-0000-0000-000006000000}"/>
    <hyperlink ref="A23" r:id="rId6" xr:uid="{A59BBF95-CCDE-4966-90D2-54C2BD6E693D}"/>
    <hyperlink ref="A11" r:id="rId7" xr:uid="{5CDE224C-0452-4FD9-91D0-50A5819EA163}"/>
    <hyperlink ref="A12" r:id="rId8" xr:uid="{3D37585E-D012-4261-B914-90DE74B0204D}"/>
  </hyperlinks>
  <pageMargins left="0.7" right="0.7" top="0.75" bottom="0.75" header="0.3" footer="0.3"/>
  <pageSetup paperSize="9" scale="64" fitToHeight="0" orientation="portrait" r:id="rId9"/>
  <drawing r:id="rId1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B11:N53"/>
  <sheetViews>
    <sheetView showGridLines="0" zoomScaleNormal="100" workbookViewId="0"/>
  </sheetViews>
  <sheetFormatPr defaultColWidth="9.140625" defaultRowHeight="12.75" x14ac:dyDescent="0.2"/>
  <cols>
    <col min="1" max="1" width="10.85546875" style="7" customWidth="1"/>
    <col min="2" max="2" width="5.140625" style="7" customWidth="1"/>
    <col min="3" max="3" width="119.140625" style="7" customWidth="1"/>
    <col min="4" max="16384" width="9.140625" style="7"/>
  </cols>
  <sheetData>
    <row r="11" spans="2:14" ht="18" x14ac:dyDescent="0.25">
      <c r="B11" s="354"/>
      <c r="C11" s="354"/>
      <c r="D11" s="33"/>
      <c r="E11" s="33"/>
      <c r="F11" s="33"/>
      <c r="G11" s="33"/>
      <c r="H11" s="33"/>
      <c r="I11" s="33"/>
      <c r="J11" s="33"/>
      <c r="K11" s="33"/>
      <c r="L11" s="33"/>
      <c r="M11" s="33"/>
      <c r="N11" s="33"/>
    </row>
    <row r="12" spans="2:14" ht="18" x14ac:dyDescent="0.25">
      <c r="B12" s="33"/>
    </row>
    <row r="13" spans="2:14" ht="18" x14ac:dyDescent="0.25">
      <c r="B13" s="33"/>
    </row>
    <row r="14" spans="2:14" ht="18" x14ac:dyDescent="0.25">
      <c r="B14" s="33"/>
    </row>
    <row r="15" spans="2:14" x14ac:dyDescent="0.2">
      <c r="B15" s="98"/>
      <c r="C15" s="36" t="s">
        <v>261</v>
      </c>
    </row>
    <row r="17" spans="2:3" x14ac:dyDescent="0.2">
      <c r="B17" s="99"/>
      <c r="C17" s="36" t="s">
        <v>262</v>
      </c>
    </row>
    <row r="19" spans="2:3" x14ac:dyDescent="0.2">
      <c r="B19" s="355" t="s">
        <v>158</v>
      </c>
      <c r="C19" s="355"/>
    </row>
    <row r="21" spans="2:3" x14ac:dyDescent="0.2">
      <c r="B21" s="352" t="s">
        <v>159</v>
      </c>
      <c r="C21" s="352"/>
    </row>
    <row r="23" spans="2:3" x14ac:dyDescent="0.2">
      <c r="B23" s="352" t="s">
        <v>160</v>
      </c>
      <c r="C23" s="352"/>
    </row>
    <row r="25" spans="2:3" x14ac:dyDescent="0.2">
      <c r="B25" s="352" t="s">
        <v>29</v>
      </c>
      <c r="C25" s="352"/>
    </row>
    <row r="27" spans="2:3" x14ac:dyDescent="0.2">
      <c r="B27" s="352" t="s">
        <v>197</v>
      </c>
      <c r="C27" s="352"/>
    </row>
    <row r="29" spans="2:3" x14ac:dyDescent="0.2">
      <c r="B29" s="352" t="s">
        <v>161</v>
      </c>
      <c r="C29" s="352"/>
    </row>
    <row r="31" spans="2:3" x14ac:dyDescent="0.2">
      <c r="B31" s="353" t="s">
        <v>162</v>
      </c>
      <c r="C31" s="353"/>
    </row>
    <row r="33" spans="2:3" x14ac:dyDescent="0.2">
      <c r="B33" s="352" t="s">
        <v>152</v>
      </c>
      <c r="C33" s="352"/>
    </row>
    <row r="35" spans="2:3" x14ac:dyDescent="0.2">
      <c r="B35" s="352" t="s">
        <v>153</v>
      </c>
      <c r="C35" s="352"/>
    </row>
    <row r="37" spans="2:3" x14ac:dyDescent="0.2">
      <c r="B37" s="352" t="s">
        <v>154</v>
      </c>
      <c r="C37" s="352"/>
    </row>
    <row r="39" spans="2:3" x14ac:dyDescent="0.2">
      <c r="B39" s="352" t="s">
        <v>155</v>
      </c>
      <c r="C39" s="352"/>
    </row>
    <row r="41" spans="2:3" x14ac:dyDescent="0.2">
      <c r="B41" s="352" t="s">
        <v>237</v>
      </c>
      <c r="C41" s="352"/>
    </row>
    <row r="43" spans="2:3" x14ac:dyDescent="0.2">
      <c r="B43" s="352" t="s">
        <v>95</v>
      </c>
      <c r="C43" s="352"/>
    </row>
    <row r="45" spans="2:3" x14ac:dyDescent="0.2">
      <c r="B45" s="352" t="s">
        <v>156</v>
      </c>
      <c r="C45" s="352"/>
    </row>
    <row r="47" spans="2:3" x14ac:dyDescent="0.2">
      <c r="B47" s="352" t="s">
        <v>157</v>
      </c>
      <c r="C47" s="352"/>
    </row>
    <row r="49" spans="2:3" x14ac:dyDescent="0.2">
      <c r="B49" s="352" t="s">
        <v>110</v>
      </c>
      <c r="C49" s="352"/>
    </row>
    <row r="51" spans="2:3" x14ac:dyDescent="0.2">
      <c r="B51" s="352" t="s">
        <v>127</v>
      </c>
      <c r="C51" s="352"/>
    </row>
    <row r="53" spans="2:3" x14ac:dyDescent="0.2">
      <c r="B53" s="352"/>
      <c r="C53" s="352"/>
    </row>
  </sheetData>
  <mergeCells count="19">
    <mergeCell ref="B11:C11"/>
    <mergeCell ref="B19:C19"/>
    <mergeCell ref="B21:C21"/>
    <mergeCell ref="B23:C23"/>
    <mergeCell ref="B25:C25"/>
    <mergeCell ref="B27:C27"/>
    <mergeCell ref="B29:C29"/>
    <mergeCell ref="B31:C31"/>
    <mergeCell ref="B33:C33"/>
    <mergeCell ref="B35:C35"/>
    <mergeCell ref="B47:C47"/>
    <mergeCell ref="B49:C49"/>
    <mergeCell ref="B51:C51"/>
    <mergeCell ref="B53:C53"/>
    <mergeCell ref="B37:C37"/>
    <mergeCell ref="B39:C39"/>
    <mergeCell ref="B41:C41"/>
    <mergeCell ref="B43:C43"/>
    <mergeCell ref="B45:C45"/>
  </mergeCells>
  <hyperlinks>
    <hyperlink ref="B19" location="'Table 1'!A1" display="Table 1: Number of critical care records by month of discharge" xr:uid="{00000000-0004-0000-0100-000000000000}"/>
    <hyperlink ref="B21" location="'Table 2'!A1" display="Table 2: Breakdown of critical care unit discharge date by quarter" xr:uid="{00000000-0004-0000-0100-000001000000}"/>
    <hyperlink ref="B25" location="'Table 4'!A1" display="Table 4: Critical care records by start day and discharge day" xr:uid="{00000000-0004-0000-0100-000002000000}"/>
    <hyperlink ref="B27" location="'Table 5'!A1" display="Table 5: Number of critical care records and average duration in days by Index of Multiple Deprevation group" xr:uid="{00000000-0004-0000-0100-000003000000}"/>
    <hyperlink ref="B29" location="'Table 6'!A1" display="Table 6: Breakdown of critical care unit admission type" xr:uid="{00000000-0004-0000-0100-000004000000}"/>
    <hyperlink ref="B31" location="'Table 7'!A1" display="Table 7: Breakdown of critical care unit admission source" xr:uid="{00000000-0004-0000-0100-000005000000}"/>
    <hyperlink ref="B35" location="'Table 9'!A1" display="Table 9: Breakdown of critical care unit discharge destination" xr:uid="{00000000-0004-0000-0100-000006000000}"/>
    <hyperlink ref="B37" location="'Table 10'!A1" display="Table 10: Breakdown of critical care unit discharge status" xr:uid="{00000000-0004-0000-0100-000007000000}"/>
    <hyperlink ref="B39" location="'Table 11'!A1" display="Table 11: Breakdown of critical care unit discharge location" xr:uid="{00000000-0004-0000-0100-000008000000}"/>
    <hyperlink ref="B41" location="'Table 12'!A1" display="Table 12: Number of critical care records by Health Resource Group (HRG) 4.0 and gender" xr:uid="{00000000-0004-0000-0100-000009000000}"/>
    <hyperlink ref="B43" location="'Table 13'!A1" display="Table 13: Duration of support by gender and support type" xr:uid="{00000000-0004-0000-0100-00000A000000}"/>
    <hyperlink ref="B45" location="'Table 14'!A1" display="Table 14: Breakdown of critical care unit function field" xr:uid="{00000000-0004-0000-0100-00000B000000}"/>
    <hyperlink ref="B47" location="'Table 15'!A1" display="Table 15: Breakdown of critical care unit bed configuration" xr:uid="{00000000-0004-0000-0100-00000C000000}"/>
    <hyperlink ref="B49" location="'Table 16'!A1" display="Table 16: Number and percentage of valid records in key fields" xr:uid="{00000000-0004-0000-0100-00000D000000}"/>
    <hyperlink ref="B51" location="'Table 17'!A1" display="Table 17: Number of critical care records for each type of relationship" xr:uid="{00000000-0004-0000-0100-00000E000000}"/>
    <hyperlink ref="B23" location="'Table 3'!A1" display="Table 3: Count of critical care records by provider and month of discharge" xr:uid="{00000000-0004-0000-0100-000010000000}"/>
    <hyperlink ref="B33" location="'Table 8'!A1" display="Table 8: Breakdown of critical care unit source location" xr:uid="{00000000-0004-0000-0100-000011000000}"/>
    <hyperlink ref="B41:C41" location="'Table 12'!A1" display="Table 12: Number of critical care records by Health Resource Group (HRG) 4+ and gender" xr:uid="{A18A13E1-7242-4D2F-9E92-D55B3AD3276F}"/>
  </hyperlinks>
  <pageMargins left="0.7" right="0.7" top="0.75" bottom="0.75" header="0.3" footer="0.3"/>
  <pageSetup paperSize="9" scale="72" orientation="landscape"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Y34"/>
  <sheetViews>
    <sheetView showGridLines="0" zoomScaleNormal="100" workbookViewId="0">
      <selection activeCell="A10" sqref="A10"/>
    </sheetView>
  </sheetViews>
  <sheetFormatPr defaultColWidth="9.140625" defaultRowHeight="12.75" x14ac:dyDescent="0.2"/>
  <cols>
    <col min="1" max="1" width="21.140625" style="1" customWidth="1"/>
    <col min="2" max="5" width="17.140625" style="1" customWidth="1"/>
    <col min="6" max="7" width="9.140625" style="1"/>
    <col min="8" max="8" width="11.140625" style="1" bestFit="1" customWidth="1"/>
    <col min="9" max="9" width="14.42578125" style="1" bestFit="1" customWidth="1"/>
    <col min="10" max="10" width="12.28515625" style="1" bestFit="1" customWidth="1"/>
    <col min="11" max="16384" width="9.140625" style="1"/>
  </cols>
  <sheetData>
    <row r="1" spans="1:25" s="7" customFormat="1" ht="12.75" customHeight="1" x14ac:dyDescent="0.2">
      <c r="F1" s="9"/>
      <c r="Y1" s="8"/>
    </row>
    <row r="2" spans="1:25" s="7" customFormat="1" ht="12.75" customHeight="1" x14ac:dyDescent="0.2">
      <c r="F2" s="9"/>
      <c r="Y2" s="8"/>
    </row>
    <row r="3" spans="1:25" s="7" customFormat="1" ht="12.75" customHeight="1" x14ac:dyDescent="0.2">
      <c r="F3" s="9"/>
      <c r="Y3" s="8"/>
    </row>
    <row r="4" spans="1:25" s="7" customFormat="1" ht="12.75" customHeight="1" x14ac:dyDescent="0.2">
      <c r="F4" s="9"/>
      <c r="Y4" s="8"/>
    </row>
    <row r="5" spans="1:25" s="7" customFormat="1" ht="12.75" customHeight="1" x14ac:dyDescent="0.2">
      <c r="F5" s="9"/>
      <c r="Y5" s="8"/>
    </row>
    <row r="6" spans="1:25" s="7" customFormat="1" ht="12.75" customHeight="1" x14ac:dyDescent="0.2">
      <c r="F6" s="9"/>
      <c r="Y6" s="8"/>
    </row>
    <row r="7" spans="1:25" ht="12.75" customHeight="1" x14ac:dyDescent="0.2"/>
    <row r="8" spans="1:25" ht="14.25" customHeight="1" x14ac:dyDescent="0.2">
      <c r="A8" s="39" t="s">
        <v>193</v>
      </c>
      <c r="B8" s="1" t="s">
        <v>128</v>
      </c>
      <c r="C8" s="1" t="s">
        <v>128</v>
      </c>
    </row>
    <row r="9" spans="1:25" ht="12.75" customHeight="1" x14ac:dyDescent="0.2"/>
    <row r="10" spans="1:25" ht="22.5" customHeight="1" x14ac:dyDescent="0.2">
      <c r="A10" s="133" t="s">
        <v>210</v>
      </c>
    </row>
    <row r="11" spans="1:25" x14ac:dyDescent="0.2">
      <c r="A11" s="2"/>
    </row>
    <row r="12" spans="1:25" x14ac:dyDescent="0.2">
      <c r="B12" s="357" t="s">
        <v>265</v>
      </c>
      <c r="C12" s="358"/>
      <c r="D12" s="361" t="s">
        <v>538</v>
      </c>
      <c r="E12" s="362"/>
    </row>
    <row r="13" spans="1:25" ht="38.25" x14ac:dyDescent="0.2">
      <c r="A13" s="303" t="s">
        <v>16</v>
      </c>
      <c r="B13" s="61" t="s">
        <v>15</v>
      </c>
      <c r="C13" s="55" t="s">
        <v>14</v>
      </c>
      <c r="D13" s="61" t="s">
        <v>15</v>
      </c>
      <c r="E13" s="57" t="s">
        <v>14</v>
      </c>
      <c r="H13" s="2"/>
      <c r="J13" s="343"/>
    </row>
    <row r="14" spans="1:25" ht="12.75" customHeight="1" x14ac:dyDescent="0.2">
      <c r="A14" s="304" t="s">
        <v>13</v>
      </c>
      <c r="B14" s="103">
        <v>19653</v>
      </c>
      <c r="C14" s="101">
        <v>8.2592634618051622E-2</v>
      </c>
      <c r="D14" s="103">
        <v>19311</v>
      </c>
      <c r="E14" s="101">
        <v>8.2000000000000003E-2</v>
      </c>
      <c r="G14" s="31"/>
      <c r="H14" s="302"/>
      <c r="J14" s="343"/>
    </row>
    <row r="15" spans="1:25" ht="12.75" customHeight="1" x14ac:dyDescent="0.2">
      <c r="A15" s="305" t="s">
        <v>12</v>
      </c>
      <c r="B15" s="104">
        <v>21225</v>
      </c>
      <c r="C15" s="102">
        <v>8.9199036776479196E-2</v>
      </c>
      <c r="D15" s="104">
        <v>20908</v>
      </c>
      <c r="E15" s="102">
        <v>8.8999999999999996E-2</v>
      </c>
      <c r="G15" s="31"/>
      <c r="H15" s="302"/>
      <c r="J15" s="343"/>
    </row>
    <row r="16" spans="1:25" x14ac:dyDescent="0.2">
      <c r="A16" s="305" t="s">
        <v>11</v>
      </c>
      <c r="B16" s="104">
        <v>20660</v>
      </c>
      <c r="C16" s="102">
        <v>8.6824598341675385E-2</v>
      </c>
      <c r="D16" s="104">
        <v>21156</v>
      </c>
      <c r="E16" s="102">
        <v>0.09</v>
      </c>
      <c r="G16" s="31"/>
      <c r="H16" s="302"/>
      <c r="J16" s="343"/>
    </row>
    <row r="17" spans="1:12" x14ac:dyDescent="0.2">
      <c r="A17" s="305" t="s">
        <v>10</v>
      </c>
      <c r="B17" s="104">
        <v>20524</v>
      </c>
      <c r="C17" s="102">
        <v>8.6253052098961544E-2</v>
      </c>
      <c r="D17" s="104">
        <v>20427</v>
      </c>
      <c r="E17" s="102">
        <v>8.5999999999999993E-2</v>
      </c>
      <c r="G17" s="31"/>
      <c r="H17" s="302"/>
      <c r="J17" s="343"/>
    </row>
    <row r="18" spans="1:12" x14ac:dyDescent="0.2">
      <c r="A18" s="305" t="s">
        <v>9</v>
      </c>
      <c r="B18" s="104">
        <v>20382</v>
      </c>
      <c r="C18" s="102">
        <v>8.5656290580833863E-2</v>
      </c>
      <c r="D18" s="104">
        <v>20380</v>
      </c>
      <c r="E18" s="102">
        <v>8.5999999999999993E-2</v>
      </c>
      <c r="G18" s="31"/>
      <c r="H18" s="302"/>
      <c r="J18" s="343"/>
    </row>
    <row r="19" spans="1:12" x14ac:dyDescent="0.2">
      <c r="A19" s="305" t="s">
        <v>8</v>
      </c>
      <c r="B19" s="104">
        <v>19677</v>
      </c>
      <c r="C19" s="102">
        <v>8.2693495719706994E-2</v>
      </c>
      <c r="D19" s="104">
        <v>19549</v>
      </c>
      <c r="E19" s="102">
        <v>8.3000000000000004E-2</v>
      </c>
      <c r="G19" s="31"/>
      <c r="H19" s="302"/>
      <c r="J19" s="343"/>
    </row>
    <row r="20" spans="1:12" x14ac:dyDescent="0.2">
      <c r="A20" s="305" t="s">
        <v>7</v>
      </c>
      <c r="B20" s="104">
        <v>19848</v>
      </c>
      <c r="C20" s="102">
        <v>8.3412131069001597E-2</v>
      </c>
      <c r="D20" s="104">
        <v>19596</v>
      </c>
      <c r="E20" s="102">
        <v>8.3000000000000004E-2</v>
      </c>
      <c r="G20" s="31"/>
      <c r="H20" s="302"/>
      <c r="J20" s="343"/>
    </row>
    <row r="21" spans="1:12" x14ac:dyDescent="0.2">
      <c r="A21" s="305" t="s">
        <v>6</v>
      </c>
      <c r="B21" s="104">
        <v>20263</v>
      </c>
      <c r="C21" s="102">
        <v>8.5156187618459264E-2</v>
      </c>
      <c r="D21" s="104">
        <v>20114</v>
      </c>
      <c r="E21" s="102">
        <v>8.5000000000000006E-2</v>
      </c>
      <c r="G21" s="31"/>
      <c r="H21" s="302"/>
      <c r="J21" s="343"/>
    </row>
    <row r="22" spans="1:12" x14ac:dyDescent="0.2">
      <c r="A22" s="305" t="s">
        <v>5</v>
      </c>
      <c r="B22" s="104">
        <v>19983</v>
      </c>
      <c r="C22" s="102">
        <v>8.3979474765813134E-2</v>
      </c>
      <c r="D22" s="104">
        <v>19194</v>
      </c>
      <c r="E22" s="102">
        <v>8.1000000000000003E-2</v>
      </c>
      <c r="G22" s="31"/>
      <c r="H22" s="302"/>
      <c r="J22" s="343"/>
    </row>
    <row r="23" spans="1:12" x14ac:dyDescent="0.2">
      <c r="A23" s="305" t="s">
        <v>4</v>
      </c>
      <c r="B23" s="104">
        <v>20204</v>
      </c>
      <c r="C23" s="102">
        <v>8.4908237410223117E-2</v>
      </c>
      <c r="D23" s="104">
        <v>19721</v>
      </c>
      <c r="E23" s="102">
        <v>8.4000000000000005E-2</v>
      </c>
      <c r="G23" s="31"/>
      <c r="H23" s="302"/>
      <c r="J23" s="343"/>
    </row>
    <row r="24" spans="1:12" x14ac:dyDescent="0.2">
      <c r="A24" s="305" t="s">
        <v>3</v>
      </c>
      <c r="B24" s="104">
        <v>18176</v>
      </c>
      <c r="C24" s="102">
        <v>7.6385474320343261E-2</v>
      </c>
      <c r="D24" s="104">
        <v>18944</v>
      </c>
      <c r="E24" s="102">
        <v>0.08</v>
      </c>
      <c r="G24" s="31"/>
      <c r="H24" s="302"/>
      <c r="J24" s="343"/>
    </row>
    <row r="25" spans="1:12" x14ac:dyDescent="0.2">
      <c r="A25" s="306" t="s">
        <v>2</v>
      </c>
      <c r="B25" s="105">
        <v>17356</v>
      </c>
      <c r="C25" s="106">
        <v>7.2939386680451024E-2</v>
      </c>
      <c r="D25" s="105">
        <v>16871</v>
      </c>
      <c r="E25" s="106">
        <v>7.0999999999999994E-2</v>
      </c>
      <c r="G25" s="31"/>
      <c r="H25" s="302"/>
      <c r="J25" s="31"/>
    </row>
    <row r="26" spans="1:12" x14ac:dyDescent="0.2">
      <c r="A26" s="307" t="s">
        <v>1</v>
      </c>
      <c r="B26" s="100">
        <v>237951</v>
      </c>
      <c r="C26" s="107">
        <f t="shared" ref="C26" si="0">B26/B$26</f>
        <v>1</v>
      </c>
      <c r="D26" s="100">
        <v>236171</v>
      </c>
      <c r="E26" s="107">
        <f t="shared" ref="E26" si="1">D26/D$26</f>
        <v>1</v>
      </c>
      <c r="G26" s="31"/>
      <c r="I26" s="319"/>
      <c r="J26" s="31"/>
    </row>
    <row r="27" spans="1:12" x14ac:dyDescent="0.2">
      <c r="A27" s="2"/>
      <c r="B27" s="6"/>
      <c r="C27" s="5"/>
      <c r="D27" s="4"/>
      <c r="E27" s="3"/>
      <c r="H27" s="71"/>
      <c r="I27" s="71"/>
    </row>
    <row r="28" spans="1:12" s="71" customFormat="1" ht="14.45" customHeight="1" x14ac:dyDescent="0.25">
      <c r="A28" s="328" t="s">
        <v>539</v>
      </c>
      <c r="B28" s="327"/>
      <c r="C28" s="327"/>
      <c r="D28" s="327"/>
      <c r="E28" s="327"/>
      <c r="F28" s="327"/>
      <c r="G28" s="327"/>
      <c r="H28" s="327"/>
      <c r="I28" s="327"/>
      <c r="J28" s="327"/>
      <c r="K28" s="327"/>
      <c r="L28" s="327"/>
    </row>
    <row r="29" spans="1:12" s="71" customFormat="1" x14ac:dyDescent="0.2"/>
    <row r="30" spans="1:12" x14ac:dyDescent="0.2">
      <c r="A30" s="2" t="s">
        <v>202</v>
      </c>
    </row>
    <row r="31" spans="1:12" ht="53.25" customHeight="1" x14ac:dyDescent="0.2">
      <c r="A31" s="359" t="s">
        <v>263</v>
      </c>
      <c r="B31" s="359"/>
      <c r="C31" s="359"/>
      <c r="D31" s="359"/>
      <c r="E31" s="359"/>
    </row>
    <row r="32" spans="1:12" ht="27" customHeight="1" x14ac:dyDescent="0.2">
      <c r="A32" s="359" t="s">
        <v>208</v>
      </c>
      <c r="B32" s="359"/>
      <c r="C32" s="359"/>
      <c r="D32" s="359"/>
      <c r="E32" s="359"/>
    </row>
    <row r="33" spans="1:5" ht="25.5" customHeight="1" x14ac:dyDescent="0.2">
      <c r="A33" s="360" t="s">
        <v>204</v>
      </c>
      <c r="B33" s="360"/>
      <c r="C33" s="360"/>
      <c r="D33" s="360"/>
      <c r="E33" s="360"/>
    </row>
    <row r="34" spans="1:5" ht="25.5" customHeight="1" x14ac:dyDescent="0.2">
      <c r="A34" s="356"/>
      <c r="B34" s="356"/>
      <c r="C34" s="356"/>
      <c r="D34" s="356"/>
      <c r="E34" s="356"/>
    </row>
  </sheetData>
  <mergeCells count="6">
    <mergeCell ref="A34:E34"/>
    <mergeCell ref="B12:C12"/>
    <mergeCell ref="A32:E32"/>
    <mergeCell ref="A33:E33"/>
    <mergeCell ref="A31:E31"/>
    <mergeCell ref="D12:E12"/>
  </mergeCells>
  <hyperlinks>
    <hyperlink ref="A8" location="Contents!A1" display="Return to Contents" xr:uid="{00000000-0004-0000-0200-000000000000}"/>
  </hyperlinks>
  <pageMargins left="0.75" right="0.75" top="1" bottom="1" header="0.5" footer="0.5"/>
  <pageSetup paperSize="9" scale="90" orientation="landscape"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Y26"/>
  <sheetViews>
    <sheetView showGridLines="0" zoomScaleNormal="100" workbookViewId="0">
      <selection activeCell="A10" sqref="A10"/>
    </sheetView>
  </sheetViews>
  <sheetFormatPr defaultColWidth="9.140625" defaultRowHeight="12.75" x14ac:dyDescent="0.2"/>
  <cols>
    <col min="1" max="1" width="28.42578125" style="1" bestFit="1" customWidth="1"/>
    <col min="2" max="5" width="17.140625" style="1" customWidth="1"/>
    <col min="6" max="16384" width="9.140625" style="1"/>
  </cols>
  <sheetData>
    <row r="1" spans="1:25" s="7" customFormat="1" ht="12.75" customHeight="1" x14ac:dyDescent="0.2">
      <c r="F1" s="9"/>
      <c r="Y1" s="8"/>
    </row>
    <row r="2" spans="1:25" s="7" customFormat="1" ht="12.75" customHeight="1" x14ac:dyDescent="0.2">
      <c r="F2" s="9"/>
      <c r="Y2" s="8"/>
    </row>
    <row r="3" spans="1:25" s="7" customFormat="1" ht="12.75" customHeight="1" x14ac:dyDescent="0.2">
      <c r="F3" s="9"/>
      <c r="Y3" s="8"/>
    </row>
    <row r="4" spans="1:25" s="7" customFormat="1" ht="12.75" customHeight="1" x14ac:dyDescent="0.2">
      <c r="F4" s="9"/>
      <c r="Y4" s="8"/>
    </row>
    <row r="5" spans="1:25" s="7" customFormat="1" ht="12.75" customHeight="1" x14ac:dyDescent="0.2">
      <c r="F5" s="9"/>
      <c r="Y5" s="8"/>
    </row>
    <row r="6" spans="1:25" s="7" customFormat="1" ht="12.75" customHeight="1" x14ac:dyDescent="0.2">
      <c r="F6" s="9"/>
      <c r="Y6" s="8"/>
    </row>
    <row r="7" spans="1:25" ht="12.75" customHeight="1" x14ac:dyDescent="0.2"/>
    <row r="8" spans="1:25" ht="14.25" customHeight="1" x14ac:dyDescent="0.2">
      <c r="A8" s="39" t="s">
        <v>193</v>
      </c>
    </row>
    <row r="9" spans="1:25" ht="12.75" customHeight="1" x14ac:dyDescent="0.2">
      <c r="A9" s="39"/>
    </row>
    <row r="10" spans="1:25" ht="22.5" customHeight="1" x14ac:dyDescent="0.2">
      <c r="A10" s="133" t="s">
        <v>220</v>
      </c>
    </row>
    <row r="11" spans="1:25" x14ac:dyDescent="0.2">
      <c r="A11" s="2"/>
    </row>
    <row r="12" spans="1:25" x14ac:dyDescent="0.2">
      <c r="A12" s="7"/>
      <c r="B12" s="363" t="s">
        <v>265</v>
      </c>
      <c r="C12" s="364"/>
      <c r="D12" s="363" t="s">
        <v>538</v>
      </c>
      <c r="E12" s="364"/>
    </row>
    <row r="13" spans="1:25" ht="38.25" x14ac:dyDescent="0.2">
      <c r="A13" s="51" t="s">
        <v>133</v>
      </c>
      <c r="B13" s="61" t="s">
        <v>15</v>
      </c>
      <c r="C13" s="57" t="s">
        <v>14</v>
      </c>
      <c r="D13" s="66" t="s">
        <v>15</v>
      </c>
      <c r="E13" s="57" t="s">
        <v>14</v>
      </c>
      <c r="F13" s="7"/>
    </row>
    <row r="14" spans="1:25" x14ac:dyDescent="0.2">
      <c r="A14" s="135" t="s">
        <v>132</v>
      </c>
      <c r="B14" s="167">
        <v>61538</v>
      </c>
      <c r="C14" s="171">
        <v>0.25861626973620622</v>
      </c>
      <c r="D14" s="167">
        <v>61375</v>
      </c>
      <c r="E14" s="171">
        <v>0.26</v>
      </c>
    </row>
    <row r="15" spans="1:25" x14ac:dyDescent="0.2">
      <c r="A15" s="85" t="s">
        <v>131</v>
      </c>
      <c r="B15" s="168">
        <v>60583</v>
      </c>
      <c r="C15" s="173">
        <v>0.25460283839950243</v>
      </c>
      <c r="D15" s="168">
        <v>60356</v>
      </c>
      <c r="E15" s="173">
        <v>0.25600000000000001</v>
      </c>
    </row>
    <row r="16" spans="1:25" x14ac:dyDescent="0.2">
      <c r="A16" s="85" t="s">
        <v>130</v>
      </c>
      <c r="B16" s="168">
        <v>60094</v>
      </c>
      <c r="C16" s="173">
        <v>0.25254779345327399</v>
      </c>
      <c r="D16" s="168">
        <v>58904</v>
      </c>
      <c r="E16" s="173">
        <v>0.249</v>
      </c>
    </row>
    <row r="17" spans="1:11" x14ac:dyDescent="0.2">
      <c r="A17" s="136" t="s">
        <v>129</v>
      </c>
      <c r="B17" s="169">
        <v>55736</v>
      </c>
      <c r="C17" s="174">
        <v>0.23423309841101739</v>
      </c>
      <c r="D17" s="169">
        <v>55536</v>
      </c>
      <c r="E17" s="174">
        <v>0.23499999999999999</v>
      </c>
      <c r="J17" s="2"/>
      <c r="K17" s="2"/>
    </row>
    <row r="18" spans="1:11" s="2" customFormat="1" x14ac:dyDescent="0.2">
      <c r="A18" s="52" t="s">
        <v>1</v>
      </c>
      <c r="B18" s="170">
        <v>237951</v>
      </c>
      <c r="C18" s="58">
        <v>1</v>
      </c>
      <c r="D18" s="170">
        <v>236171</v>
      </c>
      <c r="E18" s="58">
        <v>1</v>
      </c>
      <c r="F18" s="1"/>
    </row>
    <row r="19" spans="1:11" s="2" customFormat="1" x14ac:dyDescent="0.2">
      <c r="B19" s="6"/>
      <c r="C19" s="32"/>
      <c r="D19" s="6"/>
      <c r="E19" s="32"/>
      <c r="F19" s="24"/>
      <c r="J19" s="71"/>
      <c r="K19" s="71"/>
    </row>
    <row r="20" spans="1:11" s="71" customFormat="1" x14ac:dyDescent="0.2">
      <c r="A20" s="328" t="s">
        <v>539</v>
      </c>
      <c r="B20" s="70"/>
      <c r="C20" s="70"/>
      <c r="D20" s="70"/>
      <c r="E20" s="70"/>
      <c r="F20" s="70"/>
    </row>
    <row r="21" spans="1:11" s="71" customFormat="1" x14ac:dyDescent="0.2">
      <c r="A21" s="69"/>
      <c r="B21" s="70"/>
      <c r="C21" s="70"/>
      <c r="D21" s="70"/>
      <c r="E21" s="70"/>
      <c r="F21" s="70"/>
      <c r="J21" s="1"/>
      <c r="K21" s="1"/>
    </row>
    <row r="22" spans="1:11" x14ac:dyDescent="0.2">
      <c r="A22" s="2" t="s">
        <v>202</v>
      </c>
    </row>
    <row r="23" spans="1:11" ht="53.25" customHeight="1" x14ac:dyDescent="0.2">
      <c r="A23" s="359" t="s">
        <v>263</v>
      </c>
      <c r="B23" s="359"/>
      <c r="C23" s="359"/>
      <c r="D23" s="359"/>
      <c r="E23" s="359"/>
    </row>
    <row r="24" spans="1:11" ht="27" customHeight="1" x14ac:dyDescent="0.2">
      <c r="A24" s="359" t="s">
        <v>208</v>
      </c>
      <c r="B24" s="359"/>
      <c r="C24" s="359"/>
      <c r="D24" s="359"/>
      <c r="E24" s="359"/>
    </row>
    <row r="25" spans="1:11" ht="25.5" customHeight="1" x14ac:dyDescent="0.2">
      <c r="A25" s="360" t="s">
        <v>204</v>
      </c>
      <c r="B25" s="360"/>
      <c r="C25" s="360"/>
      <c r="D25" s="360"/>
      <c r="E25" s="360"/>
    </row>
    <row r="26" spans="1:11" ht="25.5" customHeight="1" x14ac:dyDescent="0.2">
      <c r="A26" s="356"/>
      <c r="B26" s="356"/>
      <c r="C26" s="356"/>
      <c r="D26" s="356"/>
      <c r="E26" s="356"/>
    </row>
  </sheetData>
  <mergeCells count="6">
    <mergeCell ref="A26:E26"/>
    <mergeCell ref="A23:E23"/>
    <mergeCell ref="A25:E25"/>
    <mergeCell ref="A24:E24"/>
    <mergeCell ref="B12:C12"/>
    <mergeCell ref="D12:E12"/>
  </mergeCells>
  <hyperlinks>
    <hyperlink ref="A8" location="Contents!A1" display="Return to Contents" xr:uid="{00000000-0004-0000-0300-000000000000}"/>
  </hyperlinks>
  <pageMargins left="0.75" right="0.75" top="1" bottom="1" header="0.5" footer="0.5"/>
  <pageSetup paperSize="9" orientation="landscape" r:id="rId1"/>
  <headerFooter alignWithMargins="0"/>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FFCFF7-310B-4069-A3DC-F7E954D8A0C2}">
  <sheetPr>
    <pageSetUpPr fitToPage="1"/>
  </sheetPr>
  <dimension ref="A1:AF489"/>
  <sheetViews>
    <sheetView showGridLines="0" zoomScaleNormal="100" workbookViewId="0">
      <selection activeCell="A10" sqref="A10"/>
    </sheetView>
  </sheetViews>
  <sheetFormatPr defaultColWidth="9.140625" defaultRowHeight="11.25" x14ac:dyDescent="0.2"/>
  <cols>
    <col min="1" max="1" width="12.42578125" style="48" customWidth="1"/>
    <col min="2" max="2" width="81.85546875" style="46" customWidth="1"/>
    <col min="3" max="9" width="10.85546875" style="119" customWidth="1"/>
    <col min="10" max="10" width="12.42578125" style="119" customWidth="1"/>
    <col min="11" max="11" width="12.140625" style="119" customWidth="1"/>
    <col min="12" max="13" width="10.85546875" style="119" customWidth="1"/>
    <col min="14" max="14" width="9.140625" style="119" customWidth="1"/>
    <col min="15" max="15" width="10.85546875" style="124" customWidth="1"/>
    <col min="16" max="32" width="9.140625" style="48"/>
    <col min="33" max="33" width="6.140625" style="48" customWidth="1"/>
    <col min="34" max="34" width="63.42578125" style="48" customWidth="1"/>
    <col min="35" max="16384" width="9.140625" style="48"/>
  </cols>
  <sheetData>
    <row r="1" spans="1:28" s="7" customFormat="1" ht="12.75" customHeight="1" x14ac:dyDescent="0.2">
      <c r="B1" s="44"/>
      <c r="C1" s="118"/>
      <c r="D1" s="122"/>
      <c r="E1" s="118"/>
      <c r="F1" s="122"/>
      <c r="G1" s="118"/>
      <c r="H1" s="118"/>
      <c r="I1" s="118"/>
      <c r="J1" s="118"/>
      <c r="K1" s="118"/>
      <c r="L1" s="118"/>
      <c r="M1" s="118"/>
      <c r="N1" s="118"/>
      <c r="O1" s="123"/>
      <c r="Y1" s="8"/>
    </row>
    <row r="2" spans="1:28" s="7" customFormat="1" ht="12.75" customHeight="1" x14ac:dyDescent="0.2">
      <c r="B2" s="44"/>
      <c r="C2" s="118"/>
      <c r="D2" s="122"/>
      <c r="E2" s="118"/>
      <c r="F2" s="122"/>
      <c r="G2" s="118"/>
      <c r="H2" s="118"/>
      <c r="I2" s="118"/>
      <c r="J2" s="118"/>
      <c r="K2" s="118"/>
      <c r="L2" s="118"/>
      <c r="M2" s="118"/>
      <c r="N2" s="118"/>
      <c r="O2" s="123"/>
      <c r="Y2" s="8"/>
    </row>
    <row r="3" spans="1:28" s="7" customFormat="1" ht="12.75" customHeight="1" x14ac:dyDescent="0.2">
      <c r="B3" s="44"/>
      <c r="C3" s="118"/>
      <c r="D3" s="122"/>
      <c r="E3" s="118"/>
      <c r="F3" s="122"/>
      <c r="G3" s="118"/>
      <c r="H3" s="118"/>
      <c r="I3" s="118"/>
      <c r="J3" s="118"/>
      <c r="K3" s="118"/>
      <c r="L3" s="118"/>
      <c r="M3" s="118"/>
      <c r="N3" s="118"/>
      <c r="O3" s="123"/>
      <c r="Y3" s="8"/>
    </row>
    <row r="4" spans="1:28" s="7" customFormat="1" ht="12.75" customHeight="1" x14ac:dyDescent="0.2">
      <c r="B4" s="44"/>
      <c r="C4" s="118"/>
      <c r="D4" s="122"/>
      <c r="E4" s="118"/>
      <c r="F4" s="122"/>
      <c r="G4" s="118"/>
      <c r="H4" s="118"/>
      <c r="I4" s="118"/>
      <c r="J4" s="118"/>
      <c r="K4" s="118"/>
      <c r="L4" s="118"/>
      <c r="M4" s="118"/>
      <c r="N4" s="118"/>
      <c r="O4" s="123"/>
      <c r="Y4" s="8"/>
    </row>
    <row r="5" spans="1:28" s="7" customFormat="1" ht="12.75" customHeight="1" x14ac:dyDescent="0.2">
      <c r="B5" s="44"/>
      <c r="C5" s="118"/>
      <c r="D5" s="122"/>
      <c r="E5" s="118"/>
      <c r="F5" s="122"/>
      <c r="G5" s="118"/>
      <c r="H5" s="118"/>
      <c r="I5" s="118"/>
      <c r="J5" s="118"/>
      <c r="K5" s="118"/>
      <c r="L5" s="118"/>
      <c r="M5" s="118"/>
      <c r="N5" s="118"/>
      <c r="O5" s="123"/>
      <c r="Y5" s="8"/>
    </row>
    <row r="6" spans="1:28" s="7" customFormat="1" ht="12.75" customHeight="1" x14ac:dyDescent="0.2">
      <c r="B6" s="44"/>
      <c r="C6" s="118"/>
      <c r="D6" s="122"/>
      <c r="E6" s="118"/>
      <c r="F6" s="122"/>
      <c r="G6" s="118"/>
      <c r="H6" s="118"/>
      <c r="I6" s="118"/>
      <c r="J6" s="118"/>
      <c r="K6" s="118"/>
      <c r="L6" s="118"/>
      <c r="M6" s="118"/>
      <c r="N6" s="118"/>
      <c r="O6" s="123"/>
      <c r="Y6" s="8"/>
    </row>
    <row r="7" spans="1:28" ht="12.75" customHeight="1" x14ac:dyDescent="0.2">
      <c r="A7" s="45"/>
    </row>
    <row r="8" spans="1:28" ht="14.25" customHeight="1" x14ac:dyDescent="0.2">
      <c r="A8" s="365" t="s">
        <v>193</v>
      </c>
      <c r="B8" s="365"/>
    </row>
    <row r="9" spans="1:28" ht="12.75" customHeight="1" x14ac:dyDescent="0.2">
      <c r="A9" s="45"/>
    </row>
    <row r="10" spans="1:28" ht="22.5" customHeight="1" x14ac:dyDescent="0.2">
      <c r="A10" s="134" t="s">
        <v>540</v>
      </c>
      <c r="O10" s="119"/>
    </row>
    <row r="11" spans="1:28" ht="12.75" customHeight="1" x14ac:dyDescent="0.2"/>
    <row r="12" spans="1:28" s="153" customFormat="1" ht="25.5" x14ac:dyDescent="0.2">
      <c r="A12" s="137" t="s">
        <v>18</v>
      </c>
      <c r="B12" s="275" t="s">
        <v>17</v>
      </c>
      <c r="C12" s="276" t="s">
        <v>530</v>
      </c>
      <c r="D12" s="277" t="s">
        <v>531</v>
      </c>
      <c r="E12" s="277" t="s">
        <v>532</v>
      </c>
      <c r="F12" s="277" t="s">
        <v>533</v>
      </c>
      <c r="G12" s="277" t="s">
        <v>266</v>
      </c>
      <c r="H12" s="277" t="s">
        <v>267</v>
      </c>
      <c r="I12" s="277" t="s">
        <v>268</v>
      </c>
      <c r="J12" s="277" t="s">
        <v>269</v>
      </c>
      <c r="K12" s="277" t="s">
        <v>270</v>
      </c>
      <c r="L12" s="320" t="s">
        <v>271</v>
      </c>
      <c r="M12" s="321" t="s">
        <v>272</v>
      </c>
      <c r="N12" s="321" t="s">
        <v>273</v>
      </c>
      <c r="O12" s="329" t="s">
        <v>1</v>
      </c>
    </row>
    <row r="13" spans="1:28" s="46" customFormat="1" ht="12.75" x14ac:dyDescent="0.2">
      <c r="A13" s="162" t="s">
        <v>274</v>
      </c>
      <c r="B13" s="163" t="s">
        <v>402</v>
      </c>
      <c r="C13" s="293">
        <v>15</v>
      </c>
      <c r="D13" s="294">
        <v>15</v>
      </c>
      <c r="E13" s="294">
        <v>10</v>
      </c>
      <c r="F13" s="294">
        <v>10</v>
      </c>
      <c r="G13" s="294">
        <v>10</v>
      </c>
      <c r="H13" s="294">
        <v>15</v>
      </c>
      <c r="I13" s="294">
        <v>10</v>
      </c>
      <c r="J13" s="294">
        <v>15</v>
      </c>
      <c r="K13" s="294">
        <v>15</v>
      </c>
      <c r="L13" s="294">
        <v>20</v>
      </c>
      <c r="M13" s="294">
        <v>15</v>
      </c>
      <c r="N13" s="294">
        <v>25</v>
      </c>
      <c r="O13" s="278">
        <v>180</v>
      </c>
      <c r="P13" s="47"/>
      <c r="Q13" s="47"/>
      <c r="R13" s="47"/>
      <c r="S13" s="47"/>
      <c r="T13" s="47"/>
      <c r="U13" s="47"/>
      <c r="V13" s="47"/>
      <c r="W13" s="47"/>
      <c r="X13" s="47"/>
      <c r="Y13" s="47"/>
      <c r="Z13" s="47"/>
      <c r="AA13" s="47"/>
      <c r="AB13" s="47"/>
    </row>
    <row r="14" spans="1:28" s="46" customFormat="1" ht="12.75" x14ac:dyDescent="0.2">
      <c r="A14" s="162" t="s">
        <v>275</v>
      </c>
      <c r="B14" s="163" t="s">
        <v>403</v>
      </c>
      <c r="C14" s="293">
        <v>10</v>
      </c>
      <c r="D14" s="294">
        <v>10</v>
      </c>
      <c r="E14" s="294">
        <v>10</v>
      </c>
      <c r="F14" s="294">
        <v>15</v>
      </c>
      <c r="G14" s="294" t="s">
        <v>534</v>
      </c>
      <c r="H14" s="294">
        <v>10</v>
      </c>
      <c r="I14" s="294">
        <v>10</v>
      </c>
      <c r="J14" s="294">
        <v>10</v>
      </c>
      <c r="K14" s="294">
        <v>10</v>
      </c>
      <c r="L14" s="294">
        <v>15</v>
      </c>
      <c r="M14" s="294">
        <v>15</v>
      </c>
      <c r="N14" s="294">
        <v>15</v>
      </c>
      <c r="O14" s="278">
        <v>130</v>
      </c>
      <c r="P14" s="47"/>
      <c r="Q14" s="47"/>
      <c r="R14" s="47"/>
      <c r="S14" s="47"/>
      <c r="T14" s="47"/>
      <c r="U14" s="47"/>
      <c r="V14" s="47"/>
      <c r="W14" s="47"/>
      <c r="X14" s="47"/>
      <c r="Y14" s="47"/>
      <c r="Z14" s="47"/>
      <c r="AA14" s="47"/>
      <c r="AB14" s="47"/>
    </row>
    <row r="15" spans="1:28" s="46" customFormat="1" ht="12.75" x14ac:dyDescent="0.2">
      <c r="A15" s="162" t="s">
        <v>276</v>
      </c>
      <c r="B15" s="163" t="s">
        <v>404</v>
      </c>
      <c r="C15" s="293">
        <v>480</v>
      </c>
      <c r="D15" s="294">
        <v>505</v>
      </c>
      <c r="E15" s="294">
        <v>545</v>
      </c>
      <c r="F15" s="294">
        <v>515</v>
      </c>
      <c r="G15" s="294">
        <v>580</v>
      </c>
      <c r="H15" s="294">
        <v>510</v>
      </c>
      <c r="I15" s="294">
        <v>590</v>
      </c>
      <c r="J15" s="294">
        <v>580</v>
      </c>
      <c r="K15" s="294">
        <v>565</v>
      </c>
      <c r="L15" s="294">
        <v>590</v>
      </c>
      <c r="M15" s="294">
        <v>555</v>
      </c>
      <c r="N15" s="294">
        <v>485</v>
      </c>
      <c r="O15" s="278">
        <v>6510</v>
      </c>
      <c r="P15" s="47"/>
      <c r="Q15" s="47"/>
      <c r="R15" s="47"/>
      <c r="S15" s="47"/>
      <c r="T15" s="47"/>
      <c r="U15" s="47"/>
      <c r="V15" s="47"/>
      <c r="W15" s="47"/>
      <c r="X15" s="47"/>
      <c r="Y15" s="47"/>
      <c r="Z15" s="47"/>
      <c r="AA15" s="47"/>
      <c r="AB15" s="47"/>
    </row>
    <row r="16" spans="1:28" s="46" customFormat="1" ht="12.75" x14ac:dyDescent="0.2">
      <c r="A16" s="162" t="s">
        <v>277</v>
      </c>
      <c r="B16" s="163" t="s">
        <v>405</v>
      </c>
      <c r="C16" s="293">
        <v>80</v>
      </c>
      <c r="D16" s="294">
        <v>180</v>
      </c>
      <c r="E16" s="294">
        <v>90</v>
      </c>
      <c r="F16" s="294">
        <v>80</v>
      </c>
      <c r="G16" s="294">
        <v>85</v>
      </c>
      <c r="H16" s="294">
        <v>90</v>
      </c>
      <c r="I16" s="294">
        <v>75</v>
      </c>
      <c r="J16" s="294">
        <v>90</v>
      </c>
      <c r="K16" s="294">
        <v>95</v>
      </c>
      <c r="L16" s="294">
        <v>85</v>
      </c>
      <c r="M16" s="294">
        <v>90</v>
      </c>
      <c r="N16" s="294">
        <v>80</v>
      </c>
      <c r="O16" s="278">
        <v>1120</v>
      </c>
      <c r="P16" s="47"/>
      <c r="Q16" s="47"/>
      <c r="R16" s="47"/>
      <c r="S16" s="47"/>
      <c r="T16" s="47"/>
      <c r="U16" s="47"/>
      <c r="V16" s="47"/>
      <c r="W16" s="47"/>
      <c r="X16" s="47"/>
      <c r="Y16" s="47"/>
      <c r="Z16" s="47"/>
      <c r="AA16" s="47"/>
      <c r="AB16" s="47"/>
    </row>
    <row r="17" spans="1:31" s="46" customFormat="1" ht="12.75" x14ac:dyDescent="0.2">
      <c r="A17" s="162" t="s">
        <v>278</v>
      </c>
      <c r="B17" s="163" t="s">
        <v>406</v>
      </c>
      <c r="C17" s="293">
        <v>90</v>
      </c>
      <c r="D17" s="294">
        <v>105</v>
      </c>
      <c r="E17" s="294">
        <v>115</v>
      </c>
      <c r="F17" s="294">
        <v>100</v>
      </c>
      <c r="G17" s="294">
        <v>115</v>
      </c>
      <c r="H17" s="294">
        <v>110</v>
      </c>
      <c r="I17" s="294">
        <v>100</v>
      </c>
      <c r="J17" s="294">
        <v>115</v>
      </c>
      <c r="K17" s="294">
        <v>110</v>
      </c>
      <c r="L17" s="294">
        <v>120</v>
      </c>
      <c r="M17" s="294">
        <v>110</v>
      </c>
      <c r="N17" s="294">
        <v>80</v>
      </c>
      <c r="O17" s="278">
        <v>1265</v>
      </c>
      <c r="P17" s="47"/>
      <c r="Q17" s="47"/>
      <c r="R17" s="47"/>
      <c r="S17" s="47"/>
      <c r="T17" s="47"/>
      <c r="U17" s="47"/>
      <c r="V17" s="47"/>
      <c r="W17" s="47"/>
      <c r="X17" s="47"/>
      <c r="Y17" s="47"/>
      <c r="Z17" s="47"/>
      <c r="AA17" s="47"/>
      <c r="AB17" s="47"/>
    </row>
    <row r="18" spans="1:31" s="46" customFormat="1" ht="12.75" x14ac:dyDescent="0.2">
      <c r="A18" s="162" t="s">
        <v>279</v>
      </c>
      <c r="B18" s="163" t="s">
        <v>407</v>
      </c>
      <c r="C18" s="293">
        <v>25</v>
      </c>
      <c r="D18" s="294">
        <v>30</v>
      </c>
      <c r="E18" s="294">
        <v>25</v>
      </c>
      <c r="F18" s="294">
        <v>30</v>
      </c>
      <c r="G18" s="294">
        <v>35</v>
      </c>
      <c r="H18" s="294">
        <v>30</v>
      </c>
      <c r="I18" s="294">
        <v>35</v>
      </c>
      <c r="J18" s="294">
        <v>30</v>
      </c>
      <c r="K18" s="294">
        <v>25</v>
      </c>
      <c r="L18" s="294">
        <v>30</v>
      </c>
      <c r="M18" s="294">
        <v>20</v>
      </c>
      <c r="N18" s="294">
        <v>25</v>
      </c>
      <c r="O18" s="278">
        <v>335</v>
      </c>
      <c r="P18" s="47"/>
      <c r="Q18" s="47"/>
      <c r="R18" s="47"/>
      <c r="S18" s="47"/>
      <c r="T18" s="47"/>
      <c r="U18" s="47"/>
      <c r="V18" s="47"/>
      <c r="W18" s="47"/>
      <c r="X18" s="47"/>
      <c r="Y18" s="47"/>
      <c r="Z18" s="47"/>
      <c r="AA18" s="47"/>
      <c r="AB18" s="47"/>
    </row>
    <row r="19" spans="1:31" s="46" customFormat="1" ht="12.75" x14ac:dyDescent="0.2">
      <c r="A19" s="162" t="s">
        <v>280</v>
      </c>
      <c r="B19" s="163" t="s">
        <v>408</v>
      </c>
      <c r="C19" s="293">
        <v>765</v>
      </c>
      <c r="D19" s="294">
        <v>870</v>
      </c>
      <c r="E19" s="294">
        <v>830</v>
      </c>
      <c r="F19" s="294">
        <v>790</v>
      </c>
      <c r="G19" s="294">
        <v>770</v>
      </c>
      <c r="H19" s="294">
        <v>805</v>
      </c>
      <c r="I19" s="294">
        <v>850</v>
      </c>
      <c r="J19" s="294">
        <v>845</v>
      </c>
      <c r="K19" s="294">
        <v>820</v>
      </c>
      <c r="L19" s="294">
        <v>840</v>
      </c>
      <c r="M19" s="294">
        <v>855</v>
      </c>
      <c r="N19" s="294">
        <v>740</v>
      </c>
      <c r="O19" s="278">
        <v>9785</v>
      </c>
      <c r="P19" s="47"/>
      <c r="Q19" s="47"/>
      <c r="R19" s="47"/>
      <c r="S19" s="47"/>
      <c r="T19" s="47"/>
      <c r="U19" s="47"/>
      <c r="V19" s="47"/>
      <c r="W19" s="47"/>
      <c r="X19" s="47"/>
      <c r="Y19" s="47"/>
      <c r="Z19" s="47"/>
      <c r="AA19" s="47"/>
      <c r="AB19" s="47"/>
      <c r="AE19" s="308"/>
    </row>
    <row r="20" spans="1:31" s="46" customFormat="1" ht="12.75" x14ac:dyDescent="0.2">
      <c r="A20" s="162" t="s">
        <v>281</v>
      </c>
      <c r="B20" s="163" t="s">
        <v>409</v>
      </c>
      <c r="C20" s="293">
        <v>180</v>
      </c>
      <c r="D20" s="294">
        <v>245</v>
      </c>
      <c r="E20" s="294">
        <v>225</v>
      </c>
      <c r="F20" s="294">
        <v>240</v>
      </c>
      <c r="G20" s="294">
        <v>150</v>
      </c>
      <c r="H20" s="294">
        <v>115</v>
      </c>
      <c r="I20" s="294">
        <v>155</v>
      </c>
      <c r="J20" s="294">
        <v>185</v>
      </c>
      <c r="K20" s="294">
        <v>175</v>
      </c>
      <c r="L20" s="294">
        <v>145</v>
      </c>
      <c r="M20" s="294">
        <v>160</v>
      </c>
      <c r="N20" s="294">
        <v>135</v>
      </c>
      <c r="O20" s="278">
        <v>2105</v>
      </c>
      <c r="P20" s="47"/>
      <c r="Q20" s="47"/>
      <c r="R20" s="47"/>
      <c r="S20" s="47"/>
      <c r="T20" s="47"/>
      <c r="U20" s="47"/>
      <c r="V20" s="47"/>
      <c r="W20" s="47"/>
      <c r="X20" s="47"/>
      <c r="Y20" s="47"/>
      <c r="Z20" s="47"/>
      <c r="AA20" s="47"/>
      <c r="AB20" s="47"/>
      <c r="AE20" s="308"/>
    </row>
    <row r="21" spans="1:31" s="46" customFormat="1" ht="12.75" x14ac:dyDescent="0.2">
      <c r="A21" s="162" t="s">
        <v>282</v>
      </c>
      <c r="B21" s="163" t="s">
        <v>410</v>
      </c>
      <c r="C21" s="293">
        <v>90</v>
      </c>
      <c r="D21" s="294">
        <v>85</v>
      </c>
      <c r="E21" s="294">
        <v>95</v>
      </c>
      <c r="F21" s="294">
        <v>80</v>
      </c>
      <c r="G21" s="294">
        <v>90</v>
      </c>
      <c r="H21" s="294">
        <v>90</v>
      </c>
      <c r="I21" s="294">
        <v>95</v>
      </c>
      <c r="J21" s="294">
        <v>90</v>
      </c>
      <c r="K21" s="294">
        <v>90</v>
      </c>
      <c r="L21" s="294">
        <v>95</v>
      </c>
      <c r="M21" s="294">
        <v>90</v>
      </c>
      <c r="N21" s="294">
        <v>85</v>
      </c>
      <c r="O21" s="278">
        <v>1080</v>
      </c>
      <c r="P21" s="47"/>
      <c r="Q21" s="47"/>
      <c r="R21" s="47"/>
      <c r="S21" s="47"/>
      <c r="T21" s="47"/>
      <c r="U21" s="47"/>
      <c r="V21" s="47"/>
      <c r="W21" s="47"/>
      <c r="X21" s="47"/>
      <c r="Y21" s="47"/>
      <c r="Z21" s="47"/>
      <c r="AA21" s="47"/>
      <c r="AB21" s="47"/>
      <c r="AE21" s="308"/>
    </row>
    <row r="22" spans="1:31" s="46" customFormat="1" ht="12.75" x14ac:dyDescent="0.2">
      <c r="A22" s="164" t="s">
        <v>283</v>
      </c>
      <c r="B22" s="163" t="s">
        <v>411</v>
      </c>
      <c r="C22" s="293">
        <v>220</v>
      </c>
      <c r="D22" s="294">
        <v>290</v>
      </c>
      <c r="E22" s="294">
        <v>245</v>
      </c>
      <c r="F22" s="294">
        <v>235</v>
      </c>
      <c r="G22" s="294">
        <v>250</v>
      </c>
      <c r="H22" s="294">
        <v>210</v>
      </c>
      <c r="I22" s="294">
        <v>240</v>
      </c>
      <c r="J22" s="294">
        <v>235</v>
      </c>
      <c r="K22" s="294">
        <v>215</v>
      </c>
      <c r="L22" s="294">
        <v>275</v>
      </c>
      <c r="M22" s="294">
        <v>255</v>
      </c>
      <c r="N22" s="294">
        <v>235</v>
      </c>
      <c r="O22" s="278">
        <v>2910</v>
      </c>
      <c r="P22" s="47"/>
      <c r="Q22" s="47"/>
      <c r="R22" s="47"/>
      <c r="S22" s="47"/>
      <c r="T22" s="47"/>
      <c r="U22" s="47"/>
      <c r="V22" s="47"/>
      <c r="W22" s="47"/>
      <c r="X22" s="47"/>
      <c r="Y22" s="47"/>
      <c r="Z22" s="47"/>
      <c r="AA22" s="47"/>
      <c r="AB22" s="47"/>
      <c r="AE22" s="308"/>
    </row>
    <row r="23" spans="1:31" s="46" customFormat="1" ht="12.75" x14ac:dyDescent="0.2">
      <c r="A23" s="162" t="s">
        <v>284</v>
      </c>
      <c r="B23" s="163" t="s">
        <v>412</v>
      </c>
      <c r="C23" s="293">
        <v>340</v>
      </c>
      <c r="D23" s="294">
        <v>435</v>
      </c>
      <c r="E23" s="294">
        <v>415</v>
      </c>
      <c r="F23" s="294">
        <v>445</v>
      </c>
      <c r="G23" s="294">
        <v>415</v>
      </c>
      <c r="H23" s="294">
        <v>415</v>
      </c>
      <c r="I23" s="294">
        <v>370</v>
      </c>
      <c r="J23" s="294">
        <v>420</v>
      </c>
      <c r="K23" s="294">
        <v>390</v>
      </c>
      <c r="L23" s="294">
        <v>435</v>
      </c>
      <c r="M23" s="294">
        <v>415</v>
      </c>
      <c r="N23" s="294">
        <v>405</v>
      </c>
      <c r="O23" s="278">
        <v>4910</v>
      </c>
      <c r="P23" s="47"/>
      <c r="Q23" s="47"/>
      <c r="R23" s="47"/>
      <c r="S23" s="47"/>
      <c r="T23" s="47"/>
      <c r="U23" s="47"/>
      <c r="V23" s="47"/>
      <c r="W23" s="47"/>
      <c r="X23" s="47"/>
      <c r="Y23" s="47"/>
      <c r="Z23" s="47"/>
      <c r="AA23" s="47"/>
      <c r="AB23" s="47"/>
      <c r="AE23" s="308"/>
    </row>
    <row r="24" spans="1:31" s="46" customFormat="1" ht="12.75" x14ac:dyDescent="0.2">
      <c r="A24" s="162" t="s">
        <v>285</v>
      </c>
      <c r="B24" s="163" t="s">
        <v>413</v>
      </c>
      <c r="C24" s="293">
        <v>220</v>
      </c>
      <c r="D24" s="294">
        <v>275</v>
      </c>
      <c r="E24" s="294">
        <v>290</v>
      </c>
      <c r="F24" s="294">
        <v>275</v>
      </c>
      <c r="G24" s="294">
        <v>260</v>
      </c>
      <c r="H24" s="294">
        <v>270</v>
      </c>
      <c r="I24" s="294">
        <v>305</v>
      </c>
      <c r="J24" s="294">
        <v>305</v>
      </c>
      <c r="K24" s="294">
        <v>280</v>
      </c>
      <c r="L24" s="294">
        <v>300</v>
      </c>
      <c r="M24" s="294">
        <v>265</v>
      </c>
      <c r="N24" s="294">
        <v>245</v>
      </c>
      <c r="O24" s="278">
        <v>3295</v>
      </c>
      <c r="P24" s="47"/>
      <c r="Q24" s="47"/>
      <c r="R24" s="47"/>
      <c r="S24" s="47"/>
      <c r="T24" s="47"/>
      <c r="U24" s="47"/>
      <c r="V24" s="47"/>
      <c r="W24" s="47"/>
      <c r="X24" s="47"/>
      <c r="Y24" s="47"/>
      <c r="Z24" s="47"/>
      <c r="AA24" s="47"/>
      <c r="AB24" s="47"/>
      <c r="AE24" s="308"/>
    </row>
    <row r="25" spans="1:31" s="46" customFormat="1" ht="12.75" x14ac:dyDescent="0.2">
      <c r="A25" s="164" t="s">
        <v>286</v>
      </c>
      <c r="B25" s="163" t="s">
        <v>414</v>
      </c>
      <c r="C25" s="293">
        <v>60</v>
      </c>
      <c r="D25" s="294">
        <v>60</v>
      </c>
      <c r="E25" s="294">
        <v>50</v>
      </c>
      <c r="F25" s="294">
        <v>60</v>
      </c>
      <c r="G25" s="294">
        <v>50</v>
      </c>
      <c r="H25" s="294">
        <v>60</v>
      </c>
      <c r="I25" s="294">
        <v>55</v>
      </c>
      <c r="J25" s="294">
        <v>70</v>
      </c>
      <c r="K25" s="294">
        <v>70</v>
      </c>
      <c r="L25" s="294">
        <v>65</v>
      </c>
      <c r="M25" s="294">
        <v>70</v>
      </c>
      <c r="N25" s="294">
        <v>40</v>
      </c>
      <c r="O25" s="278">
        <v>710</v>
      </c>
      <c r="P25" s="47"/>
      <c r="Q25" s="47"/>
      <c r="R25" s="47"/>
      <c r="S25" s="47"/>
      <c r="T25" s="47"/>
      <c r="U25" s="47"/>
      <c r="V25" s="47"/>
      <c r="W25" s="47"/>
      <c r="X25" s="47"/>
      <c r="Y25" s="47"/>
      <c r="Z25" s="47"/>
      <c r="AA25" s="47"/>
      <c r="AB25" s="47"/>
      <c r="AE25" s="308"/>
    </row>
    <row r="26" spans="1:31" s="46" customFormat="1" ht="12.75" x14ac:dyDescent="0.2">
      <c r="A26" s="162" t="s">
        <v>287</v>
      </c>
      <c r="B26" s="163" t="s">
        <v>415</v>
      </c>
      <c r="C26" s="293">
        <v>110</v>
      </c>
      <c r="D26" s="294">
        <v>135</v>
      </c>
      <c r="E26" s="294">
        <v>145</v>
      </c>
      <c r="F26" s="294">
        <v>140</v>
      </c>
      <c r="G26" s="294">
        <v>125</v>
      </c>
      <c r="H26" s="294">
        <v>100</v>
      </c>
      <c r="I26" s="294">
        <v>65</v>
      </c>
      <c r="J26" s="294">
        <v>40</v>
      </c>
      <c r="K26" s="294">
        <v>55</v>
      </c>
      <c r="L26" s="294">
        <v>45</v>
      </c>
      <c r="M26" s="294">
        <v>40</v>
      </c>
      <c r="N26" s="294">
        <v>105</v>
      </c>
      <c r="O26" s="278">
        <v>1115</v>
      </c>
      <c r="P26" s="47"/>
      <c r="Q26" s="47"/>
      <c r="R26" s="47"/>
      <c r="S26" s="47"/>
      <c r="T26" s="47"/>
      <c r="U26" s="47"/>
      <c r="V26" s="47"/>
      <c r="W26" s="47"/>
      <c r="X26" s="47"/>
      <c r="Y26" s="47"/>
      <c r="Z26" s="47"/>
      <c r="AA26" s="47"/>
      <c r="AB26" s="47"/>
      <c r="AE26" s="308"/>
    </row>
    <row r="27" spans="1:31" s="46" customFormat="1" ht="12.75" x14ac:dyDescent="0.2">
      <c r="A27" s="162" t="s">
        <v>288</v>
      </c>
      <c r="B27" s="163" t="s">
        <v>416</v>
      </c>
      <c r="C27" s="293">
        <v>90</v>
      </c>
      <c r="D27" s="294">
        <v>85</v>
      </c>
      <c r="E27" s="294">
        <v>85</v>
      </c>
      <c r="F27" s="294">
        <v>85</v>
      </c>
      <c r="G27" s="294">
        <v>90</v>
      </c>
      <c r="H27" s="294">
        <v>85</v>
      </c>
      <c r="I27" s="294">
        <v>95</v>
      </c>
      <c r="J27" s="294">
        <v>155</v>
      </c>
      <c r="K27" s="294">
        <v>150</v>
      </c>
      <c r="L27" s="294">
        <v>175</v>
      </c>
      <c r="M27" s="294">
        <v>170</v>
      </c>
      <c r="N27" s="294">
        <v>145</v>
      </c>
      <c r="O27" s="278">
        <v>1410</v>
      </c>
      <c r="P27" s="47"/>
      <c r="Q27" s="47"/>
      <c r="R27" s="47"/>
      <c r="S27" s="47"/>
      <c r="T27" s="47"/>
      <c r="U27" s="47"/>
      <c r="V27" s="47"/>
      <c r="W27" s="47"/>
      <c r="X27" s="47"/>
      <c r="Y27" s="47"/>
      <c r="Z27" s="47"/>
      <c r="AA27" s="47"/>
      <c r="AB27" s="47"/>
      <c r="AE27" s="308"/>
    </row>
    <row r="28" spans="1:31" s="46" customFormat="1" ht="12.75" x14ac:dyDescent="0.2">
      <c r="A28" s="162" t="s">
        <v>289</v>
      </c>
      <c r="B28" s="163" t="s">
        <v>417</v>
      </c>
      <c r="C28" s="293">
        <v>35</v>
      </c>
      <c r="D28" s="294">
        <v>60</v>
      </c>
      <c r="E28" s="294">
        <v>45</v>
      </c>
      <c r="F28" s="294">
        <v>50</v>
      </c>
      <c r="G28" s="294">
        <v>55</v>
      </c>
      <c r="H28" s="294">
        <v>40</v>
      </c>
      <c r="I28" s="294">
        <v>60</v>
      </c>
      <c r="J28" s="294">
        <v>45</v>
      </c>
      <c r="K28" s="294">
        <v>50</v>
      </c>
      <c r="L28" s="294">
        <v>55</v>
      </c>
      <c r="M28" s="294">
        <v>35</v>
      </c>
      <c r="N28" s="294">
        <v>40</v>
      </c>
      <c r="O28" s="278">
        <v>575</v>
      </c>
      <c r="P28" s="47"/>
      <c r="Q28" s="47"/>
      <c r="R28" s="47"/>
      <c r="S28" s="47"/>
      <c r="T28" s="47"/>
      <c r="U28" s="47"/>
      <c r="V28" s="47"/>
      <c r="W28" s="47"/>
      <c r="X28" s="47"/>
      <c r="Y28" s="47"/>
      <c r="Z28" s="47"/>
      <c r="AA28" s="47"/>
      <c r="AB28" s="47"/>
      <c r="AE28" s="308"/>
    </row>
    <row r="29" spans="1:31" s="46" customFormat="1" ht="12.75" x14ac:dyDescent="0.2">
      <c r="A29" s="162" t="s">
        <v>290</v>
      </c>
      <c r="B29" s="163" t="s">
        <v>418</v>
      </c>
      <c r="C29" s="293">
        <v>45</v>
      </c>
      <c r="D29" s="294">
        <v>45</v>
      </c>
      <c r="E29" s="294">
        <v>50</v>
      </c>
      <c r="F29" s="294">
        <v>50</v>
      </c>
      <c r="G29" s="294">
        <v>65</v>
      </c>
      <c r="H29" s="294">
        <v>45</v>
      </c>
      <c r="I29" s="294">
        <v>65</v>
      </c>
      <c r="J29" s="294">
        <v>60</v>
      </c>
      <c r="K29" s="294">
        <v>60</v>
      </c>
      <c r="L29" s="294">
        <v>50</v>
      </c>
      <c r="M29" s="294">
        <v>60</v>
      </c>
      <c r="N29" s="294">
        <v>55</v>
      </c>
      <c r="O29" s="278">
        <v>655</v>
      </c>
      <c r="P29" s="47"/>
      <c r="Q29" s="47"/>
      <c r="R29" s="47"/>
      <c r="S29" s="47"/>
      <c r="T29" s="47"/>
      <c r="U29" s="47"/>
      <c r="V29" s="47"/>
      <c r="W29" s="47"/>
      <c r="X29" s="47"/>
      <c r="Y29" s="47"/>
      <c r="Z29" s="47"/>
      <c r="AA29" s="47"/>
      <c r="AB29" s="47"/>
      <c r="AE29" s="308"/>
    </row>
    <row r="30" spans="1:31" s="46" customFormat="1" ht="12.75" x14ac:dyDescent="0.2">
      <c r="A30" s="162" t="s">
        <v>291</v>
      </c>
      <c r="B30" s="163" t="s">
        <v>419</v>
      </c>
      <c r="C30" s="293">
        <v>55</v>
      </c>
      <c r="D30" s="294">
        <v>60</v>
      </c>
      <c r="E30" s="294">
        <v>70</v>
      </c>
      <c r="F30" s="294">
        <v>60</v>
      </c>
      <c r="G30" s="294">
        <v>70</v>
      </c>
      <c r="H30" s="294">
        <v>75</v>
      </c>
      <c r="I30" s="294">
        <v>75</v>
      </c>
      <c r="J30" s="294">
        <v>80</v>
      </c>
      <c r="K30" s="294">
        <v>70</v>
      </c>
      <c r="L30" s="294">
        <v>70</v>
      </c>
      <c r="M30" s="294">
        <v>70</v>
      </c>
      <c r="N30" s="294">
        <v>65</v>
      </c>
      <c r="O30" s="278">
        <v>820</v>
      </c>
      <c r="P30" s="47"/>
      <c r="Q30" s="47"/>
      <c r="R30" s="47"/>
      <c r="S30" s="47"/>
      <c r="T30" s="47"/>
      <c r="U30" s="47"/>
      <c r="V30" s="47"/>
      <c r="W30" s="47"/>
      <c r="X30" s="47"/>
      <c r="Y30" s="47"/>
      <c r="Z30" s="47"/>
      <c r="AA30" s="47"/>
      <c r="AB30" s="47"/>
      <c r="AE30" s="308"/>
    </row>
    <row r="31" spans="1:31" s="46" customFormat="1" ht="12.75" x14ac:dyDescent="0.2">
      <c r="A31" s="162" t="s">
        <v>292</v>
      </c>
      <c r="B31" s="163" t="s">
        <v>420</v>
      </c>
      <c r="C31" s="293">
        <v>40</v>
      </c>
      <c r="D31" s="294">
        <v>45</v>
      </c>
      <c r="E31" s="294">
        <v>45</v>
      </c>
      <c r="F31" s="294">
        <v>50</v>
      </c>
      <c r="G31" s="294">
        <v>45</v>
      </c>
      <c r="H31" s="294">
        <v>40</v>
      </c>
      <c r="I31" s="294">
        <v>55</v>
      </c>
      <c r="J31" s="294">
        <v>40</v>
      </c>
      <c r="K31" s="294">
        <v>40</v>
      </c>
      <c r="L31" s="294">
        <v>50</v>
      </c>
      <c r="M31" s="294">
        <v>45</v>
      </c>
      <c r="N31" s="294">
        <v>50</v>
      </c>
      <c r="O31" s="278">
        <v>540</v>
      </c>
      <c r="P31" s="47"/>
      <c r="Q31" s="47"/>
      <c r="R31" s="47"/>
      <c r="S31" s="47"/>
      <c r="T31" s="47"/>
      <c r="U31" s="47"/>
      <c r="V31" s="47"/>
      <c r="W31" s="47"/>
      <c r="X31" s="47"/>
      <c r="Y31" s="47"/>
      <c r="Z31" s="47"/>
      <c r="AA31" s="47"/>
      <c r="AB31" s="47"/>
      <c r="AE31" s="308"/>
    </row>
    <row r="32" spans="1:31" s="46" customFormat="1" ht="12.75" x14ac:dyDescent="0.2">
      <c r="A32" s="162" t="s">
        <v>293</v>
      </c>
      <c r="B32" s="163" t="s">
        <v>421</v>
      </c>
      <c r="C32" s="293">
        <v>50</v>
      </c>
      <c r="D32" s="294">
        <v>45</v>
      </c>
      <c r="E32" s="294">
        <v>45</v>
      </c>
      <c r="F32" s="294">
        <v>85</v>
      </c>
      <c r="G32" s="294">
        <v>95</v>
      </c>
      <c r="H32" s="294">
        <v>70</v>
      </c>
      <c r="I32" s="294">
        <v>100</v>
      </c>
      <c r="J32" s="294">
        <v>90</v>
      </c>
      <c r="K32" s="294">
        <v>95</v>
      </c>
      <c r="L32" s="294">
        <v>85</v>
      </c>
      <c r="M32" s="294">
        <v>85</v>
      </c>
      <c r="N32" s="294">
        <v>85</v>
      </c>
      <c r="O32" s="278">
        <v>930</v>
      </c>
      <c r="P32" s="47"/>
      <c r="Q32" s="47"/>
      <c r="R32" s="47"/>
      <c r="S32" s="47"/>
      <c r="T32" s="47"/>
      <c r="U32" s="47"/>
      <c r="V32" s="47"/>
      <c r="W32" s="47"/>
      <c r="X32" s="47"/>
      <c r="Y32" s="47"/>
      <c r="Z32" s="47"/>
      <c r="AA32" s="47"/>
      <c r="AB32" s="47"/>
      <c r="AE32" s="308"/>
    </row>
    <row r="33" spans="1:31" s="46" customFormat="1" ht="12.75" x14ac:dyDescent="0.2">
      <c r="A33" s="164" t="s">
        <v>294</v>
      </c>
      <c r="B33" s="163" t="s">
        <v>422</v>
      </c>
      <c r="C33" s="293">
        <v>160</v>
      </c>
      <c r="D33" s="294">
        <v>170</v>
      </c>
      <c r="E33" s="294">
        <v>155</v>
      </c>
      <c r="F33" s="294">
        <v>165</v>
      </c>
      <c r="G33" s="294">
        <v>150</v>
      </c>
      <c r="H33" s="294">
        <v>165</v>
      </c>
      <c r="I33" s="294">
        <v>185</v>
      </c>
      <c r="J33" s="294">
        <v>190</v>
      </c>
      <c r="K33" s="294">
        <v>155</v>
      </c>
      <c r="L33" s="294">
        <v>170</v>
      </c>
      <c r="M33" s="294">
        <v>160</v>
      </c>
      <c r="N33" s="294">
        <v>145</v>
      </c>
      <c r="O33" s="278">
        <v>1970</v>
      </c>
      <c r="P33" s="47"/>
      <c r="Q33" s="47"/>
      <c r="R33" s="47"/>
      <c r="S33" s="47"/>
      <c r="T33" s="47"/>
      <c r="U33" s="47"/>
      <c r="V33" s="47"/>
      <c r="W33" s="47"/>
      <c r="X33" s="47"/>
      <c r="Y33" s="47"/>
      <c r="Z33" s="47"/>
      <c r="AA33" s="47"/>
      <c r="AB33" s="47"/>
      <c r="AE33" s="308"/>
    </row>
    <row r="34" spans="1:31" s="46" customFormat="1" ht="12.75" x14ac:dyDescent="0.2">
      <c r="A34" s="164" t="s">
        <v>295</v>
      </c>
      <c r="B34" s="163" t="s">
        <v>423</v>
      </c>
      <c r="C34" s="293">
        <v>40</v>
      </c>
      <c r="D34" s="294">
        <v>35</v>
      </c>
      <c r="E34" s="294">
        <v>40</v>
      </c>
      <c r="F34" s="294">
        <v>40</v>
      </c>
      <c r="G34" s="294">
        <v>30</v>
      </c>
      <c r="H34" s="294">
        <v>35</v>
      </c>
      <c r="I34" s="294">
        <v>40</v>
      </c>
      <c r="J34" s="294">
        <v>35</v>
      </c>
      <c r="K34" s="294">
        <v>30</v>
      </c>
      <c r="L34" s="294">
        <v>30</v>
      </c>
      <c r="M34" s="294">
        <v>35</v>
      </c>
      <c r="N34" s="294">
        <v>30</v>
      </c>
      <c r="O34" s="278">
        <v>425</v>
      </c>
      <c r="P34" s="47"/>
      <c r="Q34" s="47"/>
      <c r="R34" s="47"/>
      <c r="S34" s="47"/>
      <c r="T34" s="47"/>
      <c r="U34" s="47"/>
      <c r="V34" s="47"/>
      <c r="W34" s="47"/>
      <c r="X34" s="47"/>
      <c r="Y34" s="47"/>
      <c r="Z34" s="47"/>
      <c r="AA34" s="47"/>
      <c r="AB34" s="47"/>
      <c r="AE34" s="308"/>
    </row>
    <row r="35" spans="1:31" s="46" customFormat="1" ht="12.75" x14ac:dyDescent="0.2">
      <c r="A35" s="162" t="s">
        <v>296</v>
      </c>
      <c r="B35" s="163" t="s">
        <v>424</v>
      </c>
      <c r="C35" s="293" t="s">
        <v>534</v>
      </c>
      <c r="D35" s="294" t="s">
        <v>534</v>
      </c>
      <c r="E35" s="294" t="s">
        <v>534</v>
      </c>
      <c r="F35" s="294" t="s">
        <v>534</v>
      </c>
      <c r="G35" s="294" t="s">
        <v>534</v>
      </c>
      <c r="H35" s="294">
        <v>10</v>
      </c>
      <c r="I35" s="294">
        <v>10</v>
      </c>
      <c r="J35" s="294" t="s">
        <v>534</v>
      </c>
      <c r="K35" s="294" t="s">
        <v>534</v>
      </c>
      <c r="L35" s="294" t="s">
        <v>534</v>
      </c>
      <c r="M35" s="294" t="s">
        <v>534</v>
      </c>
      <c r="N35" s="294" t="s">
        <v>534</v>
      </c>
      <c r="O35" s="278">
        <v>55</v>
      </c>
      <c r="P35" s="47"/>
      <c r="Q35" s="47"/>
      <c r="R35" s="47"/>
      <c r="S35" s="47"/>
      <c r="T35" s="47"/>
      <c r="U35" s="47"/>
      <c r="V35" s="47"/>
      <c r="W35" s="47"/>
      <c r="X35" s="47"/>
      <c r="Y35" s="47"/>
      <c r="Z35" s="47"/>
      <c r="AA35" s="47"/>
      <c r="AB35" s="47"/>
      <c r="AE35" s="308"/>
    </row>
    <row r="36" spans="1:31" s="46" customFormat="1" ht="12.75" x14ac:dyDescent="0.2">
      <c r="A36" s="162" t="s">
        <v>297</v>
      </c>
      <c r="B36" s="163" t="s">
        <v>425</v>
      </c>
      <c r="C36" s="293">
        <v>90</v>
      </c>
      <c r="D36" s="294">
        <v>80</v>
      </c>
      <c r="E36" s="294">
        <v>85</v>
      </c>
      <c r="F36" s="294">
        <v>80</v>
      </c>
      <c r="G36" s="294">
        <v>85</v>
      </c>
      <c r="H36" s="294">
        <v>100</v>
      </c>
      <c r="I36" s="294">
        <v>100</v>
      </c>
      <c r="J36" s="294">
        <v>100</v>
      </c>
      <c r="K36" s="294">
        <v>100</v>
      </c>
      <c r="L36" s="294">
        <v>95</v>
      </c>
      <c r="M36" s="294">
        <v>90</v>
      </c>
      <c r="N36" s="294">
        <v>80</v>
      </c>
      <c r="O36" s="278">
        <v>1090</v>
      </c>
      <c r="P36" s="47"/>
      <c r="Q36" s="47"/>
      <c r="R36" s="47"/>
      <c r="S36" s="47"/>
      <c r="T36" s="47"/>
      <c r="U36" s="47"/>
      <c r="V36" s="47"/>
      <c r="W36" s="47"/>
      <c r="X36" s="47"/>
      <c r="Y36" s="47"/>
      <c r="Z36" s="47"/>
      <c r="AA36" s="47"/>
      <c r="AB36" s="47"/>
      <c r="AE36" s="308"/>
    </row>
    <row r="37" spans="1:31" s="46" customFormat="1" ht="12.75" x14ac:dyDescent="0.2">
      <c r="A37" s="164" t="s">
        <v>298</v>
      </c>
      <c r="B37" s="163" t="s">
        <v>426</v>
      </c>
      <c r="C37" s="293">
        <v>120</v>
      </c>
      <c r="D37" s="294">
        <v>115</v>
      </c>
      <c r="E37" s="294">
        <v>105</v>
      </c>
      <c r="F37" s="294">
        <v>110</v>
      </c>
      <c r="G37" s="294">
        <v>110</v>
      </c>
      <c r="H37" s="294">
        <v>115</v>
      </c>
      <c r="I37" s="294">
        <v>125</v>
      </c>
      <c r="J37" s="294">
        <v>115</v>
      </c>
      <c r="K37" s="294">
        <v>125</v>
      </c>
      <c r="L37" s="294">
        <v>115</v>
      </c>
      <c r="M37" s="294">
        <v>105</v>
      </c>
      <c r="N37" s="294">
        <v>90</v>
      </c>
      <c r="O37" s="278">
        <v>1355</v>
      </c>
      <c r="P37" s="47"/>
      <c r="Q37" s="47"/>
      <c r="R37" s="47"/>
      <c r="S37" s="47"/>
      <c r="T37" s="47"/>
      <c r="U37" s="47"/>
      <c r="V37" s="47"/>
      <c r="W37" s="47"/>
      <c r="X37" s="47"/>
      <c r="Y37" s="47"/>
      <c r="Z37" s="47"/>
      <c r="AA37" s="47"/>
      <c r="AB37" s="47"/>
      <c r="AE37" s="308"/>
    </row>
    <row r="38" spans="1:31" s="46" customFormat="1" ht="12.75" x14ac:dyDescent="0.2">
      <c r="A38" s="162" t="s">
        <v>299</v>
      </c>
      <c r="B38" s="163" t="s">
        <v>427</v>
      </c>
      <c r="C38" s="293">
        <v>40</v>
      </c>
      <c r="D38" s="294">
        <v>35</v>
      </c>
      <c r="E38" s="294">
        <v>35</v>
      </c>
      <c r="F38" s="294">
        <v>35</v>
      </c>
      <c r="G38" s="294">
        <v>30</v>
      </c>
      <c r="H38" s="294">
        <v>35</v>
      </c>
      <c r="I38" s="294">
        <v>45</v>
      </c>
      <c r="J38" s="294">
        <v>45</v>
      </c>
      <c r="K38" s="294">
        <v>35</v>
      </c>
      <c r="L38" s="294">
        <v>45</v>
      </c>
      <c r="M38" s="294">
        <v>30</v>
      </c>
      <c r="N38" s="294">
        <v>25</v>
      </c>
      <c r="O38" s="278">
        <v>435</v>
      </c>
      <c r="P38" s="47"/>
      <c r="Q38" s="47"/>
      <c r="R38" s="47"/>
      <c r="S38" s="47"/>
      <c r="T38" s="47"/>
      <c r="U38" s="47"/>
      <c r="V38" s="47"/>
      <c r="W38" s="47"/>
      <c r="X38" s="47"/>
      <c r="Y38" s="47"/>
      <c r="Z38" s="47"/>
      <c r="AA38" s="47"/>
      <c r="AB38" s="47"/>
      <c r="AE38" s="308"/>
    </row>
    <row r="39" spans="1:31" s="46" customFormat="1" ht="12.75" x14ac:dyDescent="0.2">
      <c r="A39" s="162" t="s">
        <v>300</v>
      </c>
      <c r="B39" s="163" t="s">
        <v>428</v>
      </c>
      <c r="C39" s="293">
        <v>40</v>
      </c>
      <c r="D39" s="294">
        <v>35</v>
      </c>
      <c r="E39" s="294">
        <v>35</v>
      </c>
      <c r="F39" s="294">
        <v>40</v>
      </c>
      <c r="G39" s="294">
        <v>30</v>
      </c>
      <c r="H39" s="294">
        <v>30</v>
      </c>
      <c r="I39" s="294">
        <v>35</v>
      </c>
      <c r="J39" s="294">
        <v>35</v>
      </c>
      <c r="K39" s="294">
        <v>35</v>
      </c>
      <c r="L39" s="294">
        <v>30</v>
      </c>
      <c r="M39" s="294">
        <v>35</v>
      </c>
      <c r="N39" s="294">
        <v>25</v>
      </c>
      <c r="O39" s="278">
        <v>410</v>
      </c>
      <c r="P39" s="47"/>
      <c r="Q39" s="47"/>
      <c r="R39" s="47"/>
      <c r="S39" s="47"/>
      <c r="T39" s="47"/>
      <c r="U39" s="47"/>
      <c r="V39" s="47"/>
      <c r="W39" s="47"/>
      <c r="X39" s="47"/>
      <c r="Y39" s="47"/>
      <c r="Z39" s="47"/>
      <c r="AA39" s="47"/>
      <c r="AB39" s="47"/>
      <c r="AE39" s="308"/>
    </row>
    <row r="40" spans="1:31" s="46" customFormat="1" ht="12.75" x14ac:dyDescent="0.2">
      <c r="A40" s="162" t="s">
        <v>301</v>
      </c>
      <c r="B40" s="163" t="s">
        <v>429</v>
      </c>
      <c r="C40" s="293">
        <v>60</v>
      </c>
      <c r="D40" s="294">
        <v>65</v>
      </c>
      <c r="E40" s="294">
        <v>50</v>
      </c>
      <c r="F40" s="294">
        <v>50</v>
      </c>
      <c r="G40" s="294">
        <v>60</v>
      </c>
      <c r="H40" s="294">
        <v>55</v>
      </c>
      <c r="I40" s="294">
        <v>55</v>
      </c>
      <c r="J40" s="294">
        <v>55</v>
      </c>
      <c r="K40" s="294">
        <v>60</v>
      </c>
      <c r="L40" s="294">
        <v>55</v>
      </c>
      <c r="M40" s="294">
        <v>50</v>
      </c>
      <c r="N40" s="294">
        <v>55</v>
      </c>
      <c r="O40" s="278">
        <v>680</v>
      </c>
      <c r="P40" s="47"/>
      <c r="Q40" s="47"/>
      <c r="R40" s="47"/>
      <c r="S40" s="47"/>
      <c r="T40" s="47"/>
      <c r="U40" s="47"/>
      <c r="V40" s="47"/>
      <c r="W40" s="47"/>
      <c r="X40" s="47"/>
      <c r="Y40" s="47"/>
      <c r="Z40" s="47"/>
      <c r="AA40" s="47"/>
      <c r="AB40" s="47"/>
      <c r="AE40" s="308"/>
    </row>
    <row r="41" spans="1:31" s="46" customFormat="1" ht="12.75" x14ac:dyDescent="0.2">
      <c r="A41" s="162" t="s">
        <v>302</v>
      </c>
      <c r="B41" s="163" t="s">
        <v>430</v>
      </c>
      <c r="C41" s="293">
        <v>50</v>
      </c>
      <c r="D41" s="294">
        <v>80</v>
      </c>
      <c r="E41" s="294">
        <v>75</v>
      </c>
      <c r="F41" s="294">
        <v>85</v>
      </c>
      <c r="G41" s="294">
        <v>85</v>
      </c>
      <c r="H41" s="294">
        <v>80</v>
      </c>
      <c r="I41" s="294">
        <v>75</v>
      </c>
      <c r="J41" s="294">
        <v>80</v>
      </c>
      <c r="K41" s="294">
        <v>80</v>
      </c>
      <c r="L41" s="294">
        <v>85</v>
      </c>
      <c r="M41" s="294">
        <v>95</v>
      </c>
      <c r="N41" s="294">
        <v>80</v>
      </c>
      <c r="O41" s="278">
        <v>950</v>
      </c>
      <c r="P41" s="47"/>
      <c r="Q41" s="47"/>
      <c r="R41" s="47"/>
      <c r="S41" s="47"/>
      <c r="T41" s="47"/>
      <c r="U41" s="47"/>
      <c r="V41" s="47"/>
      <c r="W41" s="47"/>
      <c r="X41" s="47"/>
      <c r="Y41" s="47"/>
      <c r="Z41" s="47"/>
      <c r="AA41" s="47"/>
      <c r="AB41" s="47"/>
      <c r="AE41" s="308"/>
    </row>
    <row r="42" spans="1:31" s="46" customFormat="1" ht="12.75" x14ac:dyDescent="0.2">
      <c r="A42" s="162" t="s">
        <v>303</v>
      </c>
      <c r="B42" s="163" t="s">
        <v>431</v>
      </c>
      <c r="C42" s="293">
        <v>20</v>
      </c>
      <c r="D42" s="294">
        <v>30</v>
      </c>
      <c r="E42" s="294">
        <v>30</v>
      </c>
      <c r="F42" s="294">
        <v>35</v>
      </c>
      <c r="G42" s="294">
        <v>25</v>
      </c>
      <c r="H42" s="294">
        <v>30</v>
      </c>
      <c r="I42" s="294">
        <v>30</v>
      </c>
      <c r="J42" s="294">
        <v>35</v>
      </c>
      <c r="K42" s="294">
        <v>30</v>
      </c>
      <c r="L42" s="294">
        <v>45</v>
      </c>
      <c r="M42" s="294">
        <v>30</v>
      </c>
      <c r="N42" s="294">
        <v>20</v>
      </c>
      <c r="O42" s="278">
        <v>355</v>
      </c>
      <c r="P42" s="47"/>
      <c r="Q42" s="47"/>
      <c r="R42" s="47"/>
      <c r="S42" s="47"/>
      <c r="T42" s="47"/>
      <c r="U42" s="47"/>
      <c r="V42" s="47"/>
      <c r="W42" s="47"/>
      <c r="X42" s="47"/>
      <c r="Y42" s="47"/>
      <c r="Z42" s="47"/>
      <c r="AA42" s="47"/>
      <c r="AB42" s="47"/>
      <c r="AE42" s="308"/>
    </row>
    <row r="43" spans="1:31" s="46" customFormat="1" ht="12.75" x14ac:dyDescent="0.2">
      <c r="A43" s="162" t="s">
        <v>304</v>
      </c>
      <c r="B43" s="163" t="s">
        <v>432</v>
      </c>
      <c r="C43" s="293">
        <v>110</v>
      </c>
      <c r="D43" s="294">
        <v>110</v>
      </c>
      <c r="E43" s="294">
        <v>120</v>
      </c>
      <c r="F43" s="294">
        <v>115</v>
      </c>
      <c r="G43" s="294">
        <v>110</v>
      </c>
      <c r="H43" s="294">
        <v>105</v>
      </c>
      <c r="I43" s="294">
        <v>125</v>
      </c>
      <c r="J43" s="294">
        <v>110</v>
      </c>
      <c r="K43" s="294">
        <v>125</v>
      </c>
      <c r="L43" s="294">
        <v>115</v>
      </c>
      <c r="M43" s="294">
        <v>105</v>
      </c>
      <c r="N43" s="294">
        <v>115</v>
      </c>
      <c r="O43" s="278">
        <v>1360</v>
      </c>
      <c r="P43" s="47"/>
      <c r="Q43" s="47"/>
      <c r="R43" s="47"/>
      <c r="S43" s="47"/>
      <c r="T43" s="47"/>
      <c r="U43" s="47"/>
      <c r="V43" s="47"/>
      <c r="W43" s="47"/>
      <c r="X43" s="47"/>
      <c r="Y43" s="47"/>
      <c r="Z43" s="47"/>
      <c r="AA43" s="47"/>
      <c r="AB43" s="47"/>
      <c r="AE43" s="308"/>
    </row>
    <row r="44" spans="1:31" s="46" customFormat="1" ht="12.75" x14ac:dyDescent="0.2">
      <c r="A44" s="162" t="s">
        <v>305</v>
      </c>
      <c r="B44" s="163" t="s">
        <v>433</v>
      </c>
      <c r="C44" s="293">
        <v>210</v>
      </c>
      <c r="D44" s="294">
        <v>170</v>
      </c>
      <c r="E44" s="294">
        <v>145</v>
      </c>
      <c r="F44" s="294">
        <v>130</v>
      </c>
      <c r="G44" s="294">
        <v>155</v>
      </c>
      <c r="H44" s="294">
        <v>145</v>
      </c>
      <c r="I44" s="294">
        <v>180</v>
      </c>
      <c r="J44" s="294">
        <v>155</v>
      </c>
      <c r="K44" s="294">
        <v>160</v>
      </c>
      <c r="L44" s="294">
        <v>160</v>
      </c>
      <c r="M44" s="294">
        <v>145</v>
      </c>
      <c r="N44" s="294">
        <v>130</v>
      </c>
      <c r="O44" s="278">
        <v>1885</v>
      </c>
      <c r="P44" s="47"/>
      <c r="Q44" s="47"/>
      <c r="R44" s="47"/>
      <c r="S44" s="47"/>
      <c r="T44" s="47"/>
      <c r="U44" s="47"/>
      <c r="V44" s="47"/>
      <c r="W44" s="47"/>
      <c r="X44" s="47"/>
      <c r="Y44" s="47"/>
      <c r="Z44" s="47"/>
      <c r="AA44" s="47"/>
      <c r="AB44" s="47"/>
      <c r="AE44" s="308"/>
    </row>
    <row r="45" spans="1:31" s="46" customFormat="1" ht="12.75" x14ac:dyDescent="0.2">
      <c r="A45" s="162" t="s">
        <v>306</v>
      </c>
      <c r="B45" s="163" t="s">
        <v>434</v>
      </c>
      <c r="C45" s="293">
        <v>40</v>
      </c>
      <c r="D45" s="294">
        <v>65</v>
      </c>
      <c r="E45" s="294">
        <v>55</v>
      </c>
      <c r="F45" s="294">
        <v>45</v>
      </c>
      <c r="G45" s="294">
        <v>65</v>
      </c>
      <c r="H45" s="294">
        <v>80</v>
      </c>
      <c r="I45" s="294">
        <v>50</v>
      </c>
      <c r="J45" s="294">
        <v>55</v>
      </c>
      <c r="K45" s="294">
        <v>70</v>
      </c>
      <c r="L45" s="294">
        <v>65</v>
      </c>
      <c r="M45" s="294">
        <v>65</v>
      </c>
      <c r="N45" s="294">
        <v>75</v>
      </c>
      <c r="O45" s="278">
        <v>735</v>
      </c>
      <c r="P45" s="47"/>
      <c r="Q45" s="47"/>
      <c r="R45" s="47"/>
      <c r="S45" s="47"/>
      <c r="T45" s="47"/>
      <c r="U45" s="47"/>
      <c r="V45" s="47"/>
      <c r="W45" s="47"/>
      <c r="X45" s="47"/>
      <c r="Y45" s="47"/>
      <c r="Z45" s="47"/>
      <c r="AA45" s="47"/>
      <c r="AB45" s="47"/>
      <c r="AE45" s="308"/>
    </row>
    <row r="46" spans="1:31" s="46" customFormat="1" ht="12.75" x14ac:dyDescent="0.2">
      <c r="A46" s="162" t="s">
        <v>307</v>
      </c>
      <c r="B46" s="163" t="s">
        <v>435</v>
      </c>
      <c r="C46" s="293">
        <v>250</v>
      </c>
      <c r="D46" s="294">
        <v>305</v>
      </c>
      <c r="E46" s="294">
        <v>290</v>
      </c>
      <c r="F46" s="294">
        <v>300</v>
      </c>
      <c r="G46" s="294">
        <v>310</v>
      </c>
      <c r="H46" s="294">
        <v>315</v>
      </c>
      <c r="I46" s="294">
        <v>310</v>
      </c>
      <c r="J46" s="294">
        <v>365</v>
      </c>
      <c r="K46" s="294">
        <v>315</v>
      </c>
      <c r="L46" s="294">
        <v>330</v>
      </c>
      <c r="M46" s="294">
        <v>330</v>
      </c>
      <c r="N46" s="294">
        <v>300</v>
      </c>
      <c r="O46" s="278">
        <v>3720</v>
      </c>
      <c r="P46" s="47"/>
      <c r="Q46" s="47"/>
      <c r="R46" s="47"/>
      <c r="S46" s="47"/>
      <c r="T46" s="47"/>
      <c r="U46" s="47"/>
      <c r="V46" s="47"/>
      <c r="W46" s="47"/>
      <c r="X46" s="47"/>
      <c r="Y46" s="47"/>
      <c r="Z46" s="47"/>
      <c r="AA46" s="47"/>
      <c r="AB46" s="47"/>
      <c r="AE46" s="308"/>
    </row>
    <row r="47" spans="1:31" s="46" customFormat="1" ht="12.75" x14ac:dyDescent="0.2">
      <c r="A47" s="162" t="s">
        <v>308</v>
      </c>
      <c r="B47" s="163" t="s">
        <v>436</v>
      </c>
      <c r="C47" s="293">
        <v>30</v>
      </c>
      <c r="D47" s="294">
        <v>30</v>
      </c>
      <c r="E47" s="294">
        <v>20</v>
      </c>
      <c r="F47" s="294">
        <v>35</v>
      </c>
      <c r="G47" s="294">
        <v>55</v>
      </c>
      <c r="H47" s="294">
        <v>35</v>
      </c>
      <c r="I47" s="294">
        <v>45</v>
      </c>
      <c r="J47" s="294">
        <v>40</v>
      </c>
      <c r="K47" s="294">
        <v>40</v>
      </c>
      <c r="L47" s="294">
        <v>45</v>
      </c>
      <c r="M47" s="294">
        <v>60</v>
      </c>
      <c r="N47" s="294">
        <v>30</v>
      </c>
      <c r="O47" s="278">
        <v>465</v>
      </c>
      <c r="P47" s="47"/>
      <c r="Q47" s="47"/>
      <c r="R47" s="47"/>
      <c r="S47" s="47"/>
      <c r="T47" s="47"/>
      <c r="U47" s="47"/>
      <c r="V47" s="47"/>
      <c r="W47" s="47"/>
      <c r="X47" s="47"/>
      <c r="Y47" s="47"/>
      <c r="Z47" s="47"/>
      <c r="AA47" s="47"/>
      <c r="AB47" s="47"/>
      <c r="AE47" s="308"/>
    </row>
    <row r="48" spans="1:31" s="46" customFormat="1" ht="12.75" x14ac:dyDescent="0.2">
      <c r="A48" s="162" t="s">
        <v>309</v>
      </c>
      <c r="B48" s="163" t="s">
        <v>437</v>
      </c>
      <c r="C48" s="293">
        <v>245</v>
      </c>
      <c r="D48" s="294">
        <v>240</v>
      </c>
      <c r="E48" s="294">
        <v>260</v>
      </c>
      <c r="F48" s="294">
        <v>240</v>
      </c>
      <c r="G48" s="294">
        <v>255</v>
      </c>
      <c r="H48" s="294">
        <v>260</v>
      </c>
      <c r="I48" s="294">
        <v>275</v>
      </c>
      <c r="J48" s="294">
        <v>265</v>
      </c>
      <c r="K48" s="294">
        <v>270</v>
      </c>
      <c r="L48" s="294">
        <v>270</v>
      </c>
      <c r="M48" s="294">
        <v>255</v>
      </c>
      <c r="N48" s="294">
        <v>235</v>
      </c>
      <c r="O48" s="278">
        <v>3070</v>
      </c>
      <c r="P48" s="47"/>
      <c r="Q48" s="47"/>
      <c r="R48" s="47"/>
      <c r="S48" s="47"/>
      <c r="T48" s="47"/>
      <c r="U48" s="47"/>
      <c r="V48" s="47"/>
      <c r="W48" s="47"/>
      <c r="X48" s="47"/>
      <c r="Y48" s="47"/>
      <c r="Z48" s="47"/>
      <c r="AA48" s="47"/>
      <c r="AB48" s="47"/>
      <c r="AE48" s="308"/>
    </row>
    <row r="49" spans="1:31" s="46" customFormat="1" ht="12.75" x14ac:dyDescent="0.2">
      <c r="A49" s="162" t="s">
        <v>310</v>
      </c>
      <c r="B49" s="163" t="s">
        <v>438</v>
      </c>
      <c r="C49" s="293">
        <v>55</v>
      </c>
      <c r="D49" s="294">
        <v>55</v>
      </c>
      <c r="E49" s="294">
        <v>55</v>
      </c>
      <c r="F49" s="294">
        <v>50</v>
      </c>
      <c r="G49" s="294">
        <v>60</v>
      </c>
      <c r="H49" s="294">
        <v>55</v>
      </c>
      <c r="I49" s="294">
        <v>60</v>
      </c>
      <c r="J49" s="294">
        <v>60</v>
      </c>
      <c r="K49" s="294">
        <v>60</v>
      </c>
      <c r="L49" s="294">
        <v>60</v>
      </c>
      <c r="M49" s="294">
        <v>55</v>
      </c>
      <c r="N49" s="294">
        <v>55</v>
      </c>
      <c r="O49" s="278">
        <v>680</v>
      </c>
      <c r="P49" s="47"/>
      <c r="Q49" s="47"/>
      <c r="R49" s="47"/>
      <c r="S49" s="47"/>
      <c r="T49" s="47"/>
      <c r="U49" s="47"/>
      <c r="V49" s="47"/>
      <c r="W49" s="47"/>
      <c r="X49" s="47"/>
      <c r="Y49" s="47"/>
      <c r="Z49" s="47"/>
      <c r="AA49" s="47"/>
      <c r="AB49" s="47"/>
      <c r="AE49" s="308"/>
    </row>
    <row r="50" spans="1:31" s="46" customFormat="1" ht="12.75" x14ac:dyDescent="0.2">
      <c r="A50" s="162" t="s">
        <v>311</v>
      </c>
      <c r="B50" s="163" t="s">
        <v>439</v>
      </c>
      <c r="C50" s="293">
        <v>45</v>
      </c>
      <c r="D50" s="294">
        <v>40</v>
      </c>
      <c r="E50" s="294">
        <v>55</v>
      </c>
      <c r="F50" s="294">
        <v>50</v>
      </c>
      <c r="G50" s="294">
        <v>55</v>
      </c>
      <c r="H50" s="294">
        <v>45</v>
      </c>
      <c r="I50" s="294">
        <v>50</v>
      </c>
      <c r="J50" s="294">
        <v>45</v>
      </c>
      <c r="K50" s="294">
        <v>50</v>
      </c>
      <c r="L50" s="294">
        <v>55</v>
      </c>
      <c r="M50" s="294">
        <v>50</v>
      </c>
      <c r="N50" s="294">
        <v>50</v>
      </c>
      <c r="O50" s="278">
        <v>590</v>
      </c>
      <c r="P50" s="47"/>
      <c r="Q50" s="47"/>
      <c r="R50" s="47"/>
      <c r="S50" s="47"/>
      <c r="T50" s="47"/>
      <c r="U50" s="47"/>
      <c r="V50" s="47"/>
      <c r="W50" s="47"/>
      <c r="X50" s="47"/>
      <c r="Y50" s="47"/>
      <c r="Z50" s="47"/>
      <c r="AA50" s="47"/>
      <c r="AB50" s="47"/>
      <c r="AE50" s="308"/>
    </row>
    <row r="51" spans="1:31" s="46" customFormat="1" ht="12.75" x14ac:dyDescent="0.2">
      <c r="A51" s="162" t="s">
        <v>312</v>
      </c>
      <c r="B51" s="163" t="s">
        <v>440</v>
      </c>
      <c r="C51" s="293">
        <v>65</v>
      </c>
      <c r="D51" s="294">
        <v>80</v>
      </c>
      <c r="E51" s="294">
        <v>70</v>
      </c>
      <c r="F51" s="294">
        <v>55</v>
      </c>
      <c r="G51" s="294">
        <v>75</v>
      </c>
      <c r="H51" s="294">
        <v>80</v>
      </c>
      <c r="I51" s="294">
        <v>65</v>
      </c>
      <c r="J51" s="294">
        <v>85</v>
      </c>
      <c r="K51" s="294">
        <v>75</v>
      </c>
      <c r="L51" s="294">
        <v>65</v>
      </c>
      <c r="M51" s="294">
        <v>55</v>
      </c>
      <c r="N51" s="294">
        <v>55</v>
      </c>
      <c r="O51" s="278">
        <v>825</v>
      </c>
      <c r="P51" s="47"/>
      <c r="Q51" s="47"/>
      <c r="R51" s="47"/>
      <c r="S51" s="47"/>
      <c r="T51" s="47"/>
      <c r="U51" s="47"/>
      <c r="V51" s="47"/>
      <c r="W51" s="47"/>
      <c r="X51" s="47"/>
      <c r="Y51" s="47"/>
      <c r="Z51" s="47"/>
      <c r="AA51" s="47"/>
      <c r="AB51" s="47"/>
      <c r="AE51" s="308"/>
    </row>
    <row r="52" spans="1:31" s="46" customFormat="1" ht="12.75" x14ac:dyDescent="0.2">
      <c r="A52" s="164" t="s">
        <v>313</v>
      </c>
      <c r="B52" s="163" t="s">
        <v>441</v>
      </c>
      <c r="C52" s="293">
        <v>160</v>
      </c>
      <c r="D52" s="294">
        <v>175</v>
      </c>
      <c r="E52" s="294">
        <v>185</v>
      </c>
      <c r="F52" s="294">
        <v>180</v>
      </c>
      <c r="G52" s="294">
        <v>175</v>
      </c>
      <c r="H52" s="294">
        <v>195</v>
      </c>
      <c r="I52" s="294">
        <v>145</v>
      </c>
      <c r="J52" s="294" t="s">
        <v>535</v>
      </c>
      <c r="K52" s="294" t="s">
        <v>534</v>
      </c>
      <c r="L52" s="294" t="s">
        <v>534</v>
      </c>
      <c r="M52" s="294" t="s">
        <v>534</v>
      </c>
      <c r="N52" s="294">
        <v>40</v>
      </c>
      <c r="O52" s="278">
        <v>1265</v>
      </c>
      <c r="P52" s="47"/>
      <c r="Q52" s="47"/>
      <c r="R52" s="47"/>
      <c r="S52" s="47"/>
      <c r="T52" s="47"/>
      <c r="U52" s="47"/>
      <c r="V52" s="47"/>
      <c r="W52" s="47"/>
      <c r="X52" s="47"/>
      <c r="Y52" s="47"/>
      <c r="Z52" s="47"/>
      <c r="AA52" s="47"/>
      <c r="AB52" s="47"/>
      <c r="AE52" s="308"/>
    </row>
    <row r="53" spans="1:31" s="46" customFormat="1" ht="12.75" x14ac:dyDescent="0.2">
      <c r="A53" s="162" t="s">
        <v>314</v>
      </c>
      <c r="B53" s="163" t="s">
        <v>442</v>
      </c>
      <c r="C53" s="293">
        <v>70</v>
      </c>
      <c r="D53" s="294">
        <v>80</v>
      </c>
      <c r="E53" s="294">
        <v>75</v>
      </c>
      <c r="F53" s="294">
        <v>65</v>
      </c>
      <c r="G53" s="294">
        <v>60</v>
      </c>
      <c r="H53" s="294">
        <v>50</v>
      </c>
      <c r="I53" s="294">
        <v>75</v>
      </c>
      <c r="J53" s="294">
        <v>70</v>
      </c>
      <c r="K53" s="294">
        <v>55</v>
      </c>
      <c r="L53" s="294">
        <v>75</v>
      </c>
      <c r="M53" s="294">
        <v>65</v>
      </c>
      <c r="N53" s="294">
        <v>55</v>
      </c>
      <c r="O53" s="278">
        <v>795</v>
      </c>
      <c r="P53" s="47"/>
      <c r="Q53" s="47"/>
      <c r="R53" s="47"/>
      <c r="S53" s="47"/>
      <c r="T53" s="47"/>
      <c r="U53" s="47"/>
      <c r="V53" s="47"/>
      <c r="W53" s="47"/>
      <c r="X53" s="47"/>
      <c r="Y53" s="47"/>
      <c r="Z53" s="47"/>
      <c r="AA53" s="47"/>
      <c r="AB53" s="47"/>
      <c r="AE53" s="308"/>
    </row>
    <row r="54" spans="1:31" s="46" customFormat="1" ht="12.75" x14ac:dyDescent="0.2">
      <c r="A54" s="162" t="s">
        <v>315</v>
      </c>
      <c r="B54" s="163" t="s">
        <v>443</v>
      </c>
      <c r="C54" s="293">
        <v>35</v>
      </c>
      <c r="D54" s="294">
        <v>35</v>
      </c>
      <c r="E54" s="294">
        <v>35</v>
      </c>
      <c r="F54" s="294">
        <v>35</v>
      </c>
      <c r="G54" s="294">
        <v>30</v>
      </c>
      <c r="H54" s="294">
        <v>35</v>
      </c>
      <c r="I54" s="294">
        <v>40</v>
      </c>
      <c r="J54" s="294">
        <v>40</v>
      </c>
      <c r="K54" s="294">
        <v>35</v>
      </c>
      <c r="L54" s="294">
        <v>35</v>
      </c>
      <c r="M54" s="294">
        <v>30</v>
      </c>
      <c r="N54" s="294">
        <v>35</v>
      </c>
      <c r="O54" s="278">
        <v>410</v>
      </c>
      <c r="P54" s="47"/>
      <c r="Q54" s="47"/>
      <c r="R54" s="47"/>
      <c r="S54" s="47"/>
      <c r="T54" s="47"/>
      <c r="U54" s="47"/>
      <c r="V54" s="47"/>
      <c r="W54" s="47"/>
      <c r="X54" s="47"/>
      <c r="Y54" s="47"/>
      <c r="Z54" s="47"/>
      <c r="AA54" s="47"/>
      <c r="AB54" s="47"/>
      <c r="AE54" s="308"/>
    </row>
    <row r="55" spans="1:31" s="46" customFormat="1" ht="12.75" x14ac:dyDescent="0.2">
      <c r="A55" s="162" t="s">
        <v>316</v>
      </c>
      <c r="B55" s="163" t="s">
        <v>444</v>
      </c>
      <c r="C55" s="293">
        <v>310</v>
      </c>
      <c r="D55" s="294">
        <v>315</v>
      </c>
      <c r="E55" s="294">
        <v>345</v>
      </c>
      <c r="F55" s="294">
        <v>320</v>
      </c>
      <c r="G55" s="294">
        <v>305</v>
      </c>
      <c r="H55" s="294">
        <v>315</v>
      </c>
      <c r="I55" s="294">
        <v>325</v>
      </c>
      <c r="J55" s="294">
        <v>335</v>
      </c>
      <c r="K55" s="294">
        <v>320</v>
      </c>
      <c r="L55" s="294">
        <v>305</v>
      </c>
      <c r="M55" s="294">
        <v>280</v>
      </c>
      <c r="N55" s="294">
        <v>230</v>
      </c>
      <c r="O55" s="278">
        <v>3695</v>
      </c>
      <c r="P55" s="47"/>
      <c r="Q55" s="47"/>
      <c r="R55" s="47"/>
      <c r="S55" s="47"/>
      <c r="T55" s="47"/>
      <c r="U55" s="47"/>
      <c r="V55" s="47"/>
      <c r="W55" s="47"/>
      <c r="X55" s="47"/>
      <c r="Y55" s="47"/>
      <c r="Z55" s="47"/>
      <c r="AA55" s="47"/>
      <c r="AB55" s="47"/>
      <c r="AE55" s="308"/>
    </row>
    <row r="56" spans="1:31" s="46" customFormat="1" ht="12.75" x14ac:dyDescent="0.2">
      <c r="A56" s="164" t="s">
        <v>317</v>
      </c>
      <c r="B56" s="163" t="s">
        <v>445</v>
      </c>
      <c r="C56" s="293">
        <v>65</v>
      </c>
      <c r="D56" s="294">
        <v>80</v>
      </c>
      <c r="E56" s="294">
        <v>80</v>
      </c>
      <c r="F56" s="294">
        <v>80</v>
      </c>
      <c r="G56" s="294">
        <v>85</v>
      </c>
      <c r="H56" s="294">
        <v>80</v>
      </c>
      <c r="I56" s="294">
        <v>95</v>
      </c>
      <c r="J56" s="294">
        <v>85</v>
      </c>
      <c r="K56" s="294">
        <v>90</v>
      </c>
      <c r="L56" s="294">
        <v>75</v>
      </c>
      <c r="M56" s="294">
        <v>75</v>
      </c>
      <c r="N56" s="294">
        <v>70</v>
      </c>
      <c r="O56" s="278">
        <v>955</v>
      </c>
      <c r="P56" s="47"/>
      <c r="Q56" s="47"/>
      <c r="R56" s="47"/>
      <c r="S56" s="47"/>
      <c r="T56" s="47"/>
      <c r="U56" s="47"/>
      <c r="V56" s="47"/>
      <c r="W56" s="47"/>
      <c r="X56" s="47"/>
      <c r="Y56" s="47"/>
      <c r="Z56" s="47"/>
      <c r="AA56" s="47"/>
      <c r="AB56" s="47"/>
      <c r="AE56" s="308"/>
    </row>
    <row r="57" spans="1:31" s="46" customFormat="1" ht="12.75" x14ac:dyDescent="0.2">
      <c r="A57" s="162" t="s">
        <v>318</v>
      </c>
      <c r="B57" s="44" t="s">
        <v>446</v>
      </c>
      <c r="C57" s="293">
        <v>80</v>
      </c>
      <c r="D57" s="294">
        <v>80</v>
      </c>
      <c r="E57" s="294">
        <v>80</v>
      </c>
      <c r="F57" s="294">
        <v>85</v>
      </c>
      <c r="G57" s="294">
        <v>85</v>
      </c>
      <c r="H57" s="294">
        <v>75</v>
      </c>
      <c r="I57" s="294">
        <v>70</v>
      </c>
      <c r="J57" s="294">
        <v>75</v>
      </c>
      <c r="K57" s="294">
        <v>95</v>
      </c>
      <c r="L57" s="294">
        <v>75</v>
      </c>
      <c r="M57" s="294">
        <v>75</v>
      </c>
      <c r="N57" s="294">
        <v>55</v>
      </c>
      <c r="O57" s="278">
        <v>930</v>
      </c>
      <c r="P57" s="47"/>
      <c r="Q57" s="47"/>
      <c r="R57" s="47"/>
      <c r="S57" s="47"/>
      <c r="T57" s="47"/>
      <c r="U57" s="47"/>
      <c r="V57" s="47"/>
      <c r="W57" s="47"/>
      <c r="X57" s="47"/>
      <c r="Y57" s="47"/>
      <c r="Z57" s="47"/>
      <c r="AA57" s="47"/>
      <c r="AB57" s="47"/>
      <c r="AE57" s="308"/>
    </row>
    <row r="58" spans="1:31" s="46" customFormat="1" ht="12.75" x14ac:dyDescent="0.2">
      <c r="A58" s="164" t="s">
        <v>319</v>
      </c>
      <c r="B58" s="163" t="s">
        <v>447</v>
      </c>
      <c r="C58" s="293">
        <v>575</v>
      </c>
      <c r="D58" s="294">
        <v>630</v>
      </c>
      <c r="E58" s="294">
        <v>640</v>
      </c>
      <c r="F58" s="294">
        <v>570</v>
      </c>
      <c r="G58" s="294">
        <v>595</v>
      </c>
      <c r="H58" s="294">
        <v>555</v>
      </c>
      <c r="I58" s="294">
        <v>635</v>
      </c>
      <c r="J58" s="294">
        <v>610</v>
      </c>
      <c r="K58" s="294">
        <v>600</v>
      </c>
      <c r="L58" s="294">
        <v>630</v>
      </c>
      <c r="M58" s="294">
        <v>610</v>
      </c>
      <c r="N58" s="294">
        <v>535</v>
      </c>
      <c r="O58" s="278">
        <v>7180</v>
      </c>
      <c r="P58" s="47"/>
      <c r="Q58" s="47"/>
      <c r="R58" s="47"/>
      <c r="S58" s="47"/>
      <c r="T58" s="47"/>
      <c r="U58" s="47"/>
      <c r="V58" s="47"/>
      <c r="W58" s="47"/>
      <c r="X58" s="47"/>
      <c r="Y58" s="47"/>
      <c r="Z58" s="47"/>
      <c r="AA58" s="47"/>
      <c r="AB58" s="47"/>
      <c r="AE58" s="308"/>
    </row>
    <row r="59" spans="1:31" s="46" customFormat="1" ht="12.75" x14ac:dyDescent="0.2">
      <c r="A59" s="162" t="s">
        <v>320</v>
      </c>
      <c r="B59" s="163" t="s">
        <v>448</v>
      </c>
      <c r="C59" s="293">
        <v>540</v>
      </c>
      <c r="D59" s="294">
        <v>585</v>
      </c>
      <c r="E59" s="294">
        <v>670</v>
      </c>
      <c r="F59" s="294">
        <v>640</v>
      </c>
      <c r="G59" s="294">
        <v>640</v>
      </c>
      <c r="H59" s="294">
        <v>630</v>
      </c>
      <c r="I59" s="294">
        <v>630</v>
      </c>
      <c r="J59" s="294">
        <v>670</v>
      </c>
      <c r="K59" s="294">
        <v>645</v>
      </c>
      <c r="L59" s="294">
        <v>570</v>
      </c>
      <c r="M59" s="294">
        <v>585</v>
      </c>
      <c r="N59" s="294">
        <v>490</v>
      </c>
      <c r="O59" s="278">
        <v>7290</v>
      </c>
      <c r="P59" s="47"/>
      <c r="Q59" s="47"/>
      <c r="R59" s="47"/>
      <c r="S59" s="47"/>
      <c r="T59" s="47"/>
      <c r="U59" s="47"/>
      <c r="V59" s="47"/>
      <c r="W59" s="47"/>
      <c r="X59" s="47"/>
      <c r="Y59" s="47"/>
      <c r="Z59" s="47"/>
      <c r="AA59" s="47"/>
      <c r="AB59" s="47"/>
      <c r="AE59" s="308"/>
    </row>
    <row r="60" spans="1:31" s="46" customFormat="1" ht="12.75" x14ac:dyDescent="0.2">
      <c r="A60" s="162" t="s">
        <v>321</v>
      </c>
      <c r="B60" s="163" t="s">
        <v>449</v>
      </c>
      <c r="C60" s="293">
        <v>105</v>
      </c>
      <c r="D60" s="294">
        <v>95</v>
      </c>
      <c r="E60" s="294">
        <v>110</v>
      </c>
      <c r="F60" s="294">
        <v>90</v>
      </c>
      <c r="G60" s="294">
        <v>105</v>
      </c>
      <c r="H60" s="294">
        <v>85</v>
      </c>
      <c r="I60" s="294">
        <v>95</v>
      </c>
      <c r="J60" s="294">
        <v>120</v>
      </c>
      <c r="K60" s="294">
        <v>100</v>
      </c>
      <c r="L60" s="294">
        <v>115</v>
      </c>
      <c r="M60" s="294">
        <v>95</v>
      </c>
      <c r="N60" s="294">
        <v>90</v>
      </c>
      <c r="O60" s="278">
        <v>1210</v>
      </c>
      <c r="P60" s="47"/>
      <c r="Q60" s="47"/>
      <c r="R60" s="47"/>
      <c r="S60" s="47"/>
      <c r="T60" s="47"/>
      <c r="U60" s="47"/>
      <c r="V60" s="47"/>
      <c r="W60" s="47"/>
      <c r="X60" s="47"/>
      <c r="Y60" s="47"/>
      <c r="Z60" s="47"/>
      <c r="AA60" s="47"/>
      <c r="AB60" s="47"/>
      <c r="AE60" s="308"/>
    </row>
    <row r="61" spans="1:31" s="46" customFormat="1" ht="12.75" x14ac:dyDescent="0.2">
      <c r="A61" s="162" t="s">
        <v>322</v>
      </c>
      <c r="B61" s="163" t="s">
        <v>450</v>
      </c>
      <c r="C61" s="293">
        <v>60</v>
      </c>
      <c r="D61" s="294">
        <v>55</v>
      </c>
      <c r="E61" s="294">
        <v>55</v>
      </c>
      <c r="F61" s="294">
        <v>70</v>
      </c>
      <c r="G61" s="294">
        <v>75</v>
      </c>
      <c r="H61" s="294">
        <v>75</v>
      </c>
      <c r="I61" s="294">
        <v>80</v>
      </c>
      <c r="J61" s="294">
        <v>80</v>
      </c>
      <c r="K61" s="294">
        <v>85</v>
      </c>
      <c r="L61" s="294">
        <v>85</v>
      </c>
      <c r="M61" s="294">
        <v>85</v>
      </c>
      <c r="N61" s="294">
        <v>80</v>
      </c>
      <c r="O61" s="278">
        <v>885</v>
      </c>
      <c r="P61" s="47"/>
      <c r="Q61" s="47"/>
      <c r="R61" s="47"/>
      <c r="S61" s="47"/>
      <c r="T61" s="47"/>
      <c r="U61" s="47"/>
      <c r="V61" s="47"/>
      <c r="W61" s="47"/>
      <c r="X61" s="47"/>
      <c r="Y61" s="47"/>
      <c r="Z61" s="47"/>
      <c r="AA61" s="47"/>
      <c r="AB61" s="47"/>
      <c r="AE61" s="308"/>
    </row>
    <row r="62" spans="1:31" s="46" customFormat="1" ht="12.75" x14ac:dyDescent="0.2">
      <c r="A62" s="162" t="s">
        <v>323</v>
      </c>
      <c r="B62" s="163" t="s">
        <v>451</v>
      </c>
      <c r="C62" s="293">
        <v>1585</v>
      </c>
      <c r="D62" s="294">
        <v>1745</v>
      </c>
      <c r="E62" s="294">
        <v>1890</v>
      </c>
      <c r="F62" s="294">
        <v>1755</v>
      </c>
      <c r="G62" s="294">
        <v>1730</v>
      </c>
      <c r="H62" s="294">
        <v>1590</v>
      </c>
      <c r="I62" s="294">
        <v>1010</v>
      </c>
      <c r="J62" s="294">
        <v>1135</v>
      </c>
      <c r="K62" s="294">
        <v>1030</v>
      </c>
      <c r="L62" s="294">
        <v>1025</v>
      </c>
      <c r="M62" s="294">
        <v>1110</v>
      </c>
      <c r="N62" s="294">
        <v>1035</v>
      </c>
      <c r="O62" s="278">
        <v>16635</v>
      </c>
      <c r="P62" s="47"/>
      <c r="Q62" s="47"/>
      <c r="R62" s="47"/>
      <c r="S62" s="47"/>
      <c r="T62" s="47"/>
      <c r="U62" s="47"/>
      <c r="V62" s="47"/>
      <c r="W62" s="47"/>
      <c r="X62" s="47"/>
      <c r="Y62" s="47"/>
      <c r="Z62" s="47"/>
      <c r="AA62" s="47"/>
      <c r="AB62" s="47"/>
      <c r="AE62" s="308"/>
    </row>
    <row r="63" spans="1:31" s="46" customFormat="1" ht="12.75" x14ac:dyDescent="0.2">
      <c r="A63" s="162" t="s">
        <v>324</v>
      </c>
      <c r="B63" s="163" t="s">
        <v>452</v>
      </c>
      <c r="C63" s="293">
        <v>115</v>
      </c>
      <c r="D63" s="294">
        <v>120</v>
      </c>
      <c r="E63" s="294">
        <v>115</v>
      </c>
      <c r="F63" s="294">
        <v>115</v>
      </c>
      <c r="G63" s="294">
        <v>125</v>
      </c>
      <c r="H63" s="294">
        <v>110</v>
      </c>
      <c r="I63" s="294">
        <v>100</v>
      </c>
      <c r="J63" s="294">
        <v>140</v>
      </c>
      <c r="K63" s="294">
        <v>135</v>
      </c>
      <c r="L63" s="294">
        <v>130</v>
      </c>
      <c r="M63" s="294">
        <v>110</v>
      </c>
      <c r="N63" s="294">
        <v>60</v>
      </c>
      <c r="O63" s="278">
        <v>1380</v>
      </c>
      <c r="P63" s="47"/>
      <c r="Q63" s="47"/>
      <c r="R63" s="47"/>
      <c r="S63" s="47"/>
      <c r="T63" s="47"/>
      <c r="U63" s="47"/>
      <c r="V63" s="47"/>
      <c r="W63" s="47"/>
      <c r="X63" s="47"/>
      <c r="Y63" s="47"/>
      <c r="Z63" s="47"/>
      <c r="AA63" s="47"/>
      <c r="AB63" s="47"/>
      <c r="AE63" s="308"/>
    </row>
    <row r="64" spans="1:31" s="46" customFormat="1" ht="12.75" x14ac:dyDescent="0.2">
      <c r="A64" s="162" t="s">
        <v>325</v>
      </c>
      <c r="B64" s="163" t="s">
        <v>453</v>
      </c>
      <c r="C64" s="293">
        <v>45</v>
      </c>
      <c r="D64" s="294">
        <v>50</v>
      </c>
      <c r="E64" s="294">
        <v>40</v>
      </c>
      <c r="F64" s="294">
        <v>40</v>
      </c>
      <c r="G64" s="294">
        <v>45</v>
      </c>
      <c r="H64" s="294">
        <v>40</v>
      </c>
      <c r="I64" s="294">
        <v>40</v>
      </c>
      <c r="J64" s="294">
        <v>45</v>
      </c>
      <c r="K64" s="294">
        <v>50</v>
      </c>
      <c r="L64" s="294">
        <v>40</v>
      </c>
      <c r="M64" s="294">
        <v>45</v>
      </c>
      <c r="N64" s="294">
        <v>35</v>
      </c>
      <c r="O64" s="278">
        <v>515</v>
      </c>
      <c r="P64" s="47"/>
      <c r="Q64" s="47"/>
      <c r="R64" s="47"/>
      <c r="S64" s="47"/>
      <c r="T64" s="47"/>
      <c r="U64" s="47"/>
      <c r="V64" s="47"/>
      <c r="W64" s="47"/>
      <c r="X64" s="47"/>
      <c r="Y64" s="47"/>
      <c r="Z64" s="47"/>
      <c r="AA64" s="47"/>
      <c r="AB64" s="47"/>
      <c r="AE64" s="308"/>
    </row>
    <row r="65" spans="1:31" s="46" customFormat="1" ht="12.75" x14ac:dyDescent="0.2">
      <c r="A65" s="162" t="s">
        <v>326</v>
      </c>
      <c r="B65" s="163" t="s">
        <v>454</v>
      </c>
      <c r="C65" s="293">
        <v>270</v>
      </c>
      <c r="D65" s="294">
        <v>305</v>
      </c>
      <c r="E65" s="294">
        <v>335</v>
      </c>
      <c r="F65" s="294">
        <v>310</v>
      </c>
      <c r="G65" s="294">
        <v>300</v>
      </c>
      <c r="H65" s="294">
        <v>255</v>
      </c>
      <c r="I65" s="294">
        <v>310</v>
      </c>
      <c r="J65" s="294">
        <v>325</v>
      </c>
      <c r="K65" s="294">
        <v>295</v>
      </c>
      <c r="L65" s="294">
        <v>300</v>
      </c>
      <c r="M65" s="294">
        <v>300</v>
      </c>
      <c r="N65" s="294">
        <v>250</v>
      </c>
      <c r="O65" s="278">
        <v>3545</v>
      </c>
      <c r="P65" s="47"/>
      <c r="Q65" s="47"/>
      <c r="R65" s="47"/>
      <c r="S65" s="47"/>
      <c r="T65" s="47"/>
      <c r="U65" s="47"/>
      <c r="V65" s="47"/>
      <c r="W65" s="47"/>
      <c r="X65" s="47"/>
      <c r="Y65" s="47"/>
      <c r="Z65" s="47"/>
      <c r="AA65" s="47"/>
      <c r="AB65" s="47"/>
      <c r="AE65" s="308"/>
    </row>
    <row r="66" spans="1:31" s="46" customFormat="1" ht="12.75" x14ac:dyDescent="0.2">
      <c r="A66" s="162" t="s">
        <v>327</v>
      </c>
      <c r="B66" s="163" t="s">
        <v>455</v>
      </c>
      <c r="C66" s="293">
        <v>30</v>
      </c>
      <c r="D66" s="294">
        <v>40</v>
      </c>
      <c r="E66" s="294">
        <v>25</v>
      </c>
      <c r="F66" s="294">
        <v>45</v>
      </c>
      <c r="G66" s="294">
        <v>40</v>
      </c>
      <c r="H66" s="294">
        <v>35</v>
      </c>
      <c r="I66" s="294">
        <v>30</v>
      </c>
      <c r="J66" s="294">
        <v>45</v>
      </c>
      <c r="K66" s="294">
        <v>45</v>
      </c>
      <c r="L66" s="294">
        <v>45</v>
      </c>
      <c r="M66" s="294">
        <v>35</v>
      </c>
      <c r="N66" s="294">
        <v>30</v>
      </c>
      <c r="O66" s="278">
        <v>440</v>
      </c>
      <c r="P66" s="47"/>
      <c r="Q66" s="47"/>
      <c r="R66" s="47"/>
      <c r="S66" s="47"/>
      <c r="T66" s="47"/>
      <c r="U66" s="47"/>
      <c r="V66" s="47"/>
      <c r="W66" s="47"/>
      <c r="X66" s="47"/>
      <c r="Y66" s="47"/>
      <c r="Z66" s="47"/>
      <c r="AA66" s="47"/>
      <c r="AB66" s="47"/>
      <c r="AE66" s="308"/>
    </row>
    <row r="67" spans="1:31" s="46" customFormat="1" ht="12.75" x14ac:dyDescent="0.2">
      <c r="A67" s="162" t="s">
        <v>328</v>
      </c>
      <c r="B67" s="163" t="s">
        <v>456</v>
      </c>
      <c r="C67" s="293">
        <v>265</v>
      </c>
      <c r="D67" s="294">
        <v>320</v>
      </c>
      <c r="E67" s="294">
        <v>325</v>
      </c>
      <c r="F67" s="294">
        <v>325</v>
      </c>
      <c r="G67" s="294">
        <v>305</v>
      </c>
      <c r="H67" s="294">
        <v>320</v>
      </c>
      <c r="I67" s="294">
        <v>340</v>
      </c>
      <c r="J67" s="294">
        <v>335</v>
      </c>
      <c r="K67" s="294">
        <v>285</v>
      </c>
      <c r="L67" s="294">
        <v>305</v>
      </c>
      <c r="M67" s="294">
        <v>300</v>
      </c>
      <c r="N67" s="294">
        <v>255</v>
      </c>
      <c r="O67" s="278">
        <v>3685</v>
      </c>
      <c r="P67" s="47"/>
      <c r="Q67" s="47"/>
      <c r="R67" s="47"/>
      <c r="S67" s="47"/>
      <c r="T67" s="47"/>
      <c r="U67" s="47"/>
      <c r="V67" s="47"/>
      <c r="W67" s="47"/>
      <c r="X67" s="47"/>
      <c r="Y67" s="47"/>
      <c r="Z67" s="47"/>
      <c r="AA67" s="47"/>
      <c r="AB67" s="47"/>
      <c r="AE67" s="308"/>
    </row>
    <row r="68" spans="1:31" s="46" customFormat="1" ht="12.75" x14ac:dyDescent="0.2">
      <c r="A68" s="162" t="s">
        <v>329</v>
      </c>
      <c r="B68" s="163" t="s">
        <v>457</v>
      </c>
      <c r="C68" s="293">
        <v>95</v>
      </c>
      <c r="D68" s="294">
        <v>105</v>
      </c>
      <c r="E68" s="294">
        <v>105</v>
      </c>
      <c r="F68" s="294">
        <v>80</v>
      </c>
      <c r="G68" s="294">
        <v>105</v>
      </c>
      <c r="H68" s="294">
        <v>115</v>
      </c>
      <c r="I68" s="294">
        <v>105</v>
      </c>
      <c r="J68" s="294">
        <v>105</v>
      </c>
      <c r="K68" s="294">
        <v>95</v>
      </c>
      <c r="L68" s="294">
        <v>130</v>
      </c>
      <c r="M68" s="294">
        <v>95</v>
      </c>
      <c r="N68" s="294">
        <v>100</v>
      </c>
      <c r="O68" s="278">
        <v>1240</v>
      </c>
      <c r="P68" s="47"/>
      <c r="Q68" s="47"/>
      <c r="R68" s="47"/>
      <c r="S68" s="47"/>
      <c r="T68" s="47"/>
      <c r="U68" s="47"/>
      <c r="V68" s="47"/>
      <c r="W68" s="47"/>
      <c r="X68" s="47"/>
      <c r="Y68" s="47"/>
      <c r="Z68" s="47"/>
      <c r="AA68" s="47"/>
      <c r="AB68" s="47"/>
      <c r="AE68" s="308"/>
    </row>
    <row r="69" spans="1:31" s="46" customFormat="1" ht="12.75" x14ac:dyDescent="0.2">
      <c r="A69" s="162" t="s">
        <v>330</v>
      </c>
      <c r="B69" s="163" t="s">
        <v>458</v>
      </c>
      <c r="C69" s="293">
        <v>15</v>
      </c>
      <c r="D69" s="294">
        <v>15</v>
      </c>
      <c r="E69" s="294">
        <v>15</v>
      </c>
      <c r="F69" s="294">
        <v>20</v>
      </c>
      <c r="G69" s="294">
        <v>15</v>
      </c>
      <c r="H69" s="294">
        <v>25</v>
      </c>
      <c r="I69" s="294">
        <v>25</v>
      </c>
      <c r="J69" s="294">
        <v>20</v>
      </c>
      <c r="K69" s="294">
        <v>20</v>
      </c>
      <c r="L69" s="294">
        <v>20</v>
      </c>
      <c r="M69" s="294">
        <v>15</v>
      </c>
      <c r="N69" s="294">
        <v>15</v>
      </c>
      <c r="O69" s="278">
        <v>220</v>
      </c>
      <c r="P69" s="47"/>
      <c r="Q69" s="47"/>
      <c r="R69" s="47"/>
      <c r="S69" s="47"/>
      <c r="T69" s="47"/>
      <c r="U69" s="47"/>
      <c r="V69" s="47"/>
      <c r="W69" s="47"/>
      <c r="X69" s="47"/>
      <c r="Y69" s="47"/>
      <c r="Z69" s="47"/>
      <c r="AA69" s="47"/>
      <c r="AB69" s="47"/>
      <c r="AE69" s="308"/>
    </row>
    <row r="70" spans="1:31" s="46" customFormat="1" ht="12.75" x14ac:dyDescent="0.2">
      <c r="A70" s="164" t="s">
        <v>331</v>
      </c>
      <c r="B70" s="163" t="s">
        <v>459</v>
      </c>
      <c r="C70" s="293">
        <v>55</v>
      </c>
      <c r="D70" s="294">
        <v>75</v>
      </c>
      <c r="E70" s="294">
        <v>65</v>
      </c>
      <c r="F70" s="294">
        <v>60</v>
      </c>
      <c r="G70" s="294">
        <v>70</v>
      </c>
      <c r="H70" s="294">
        <v>75</v>
      </c>
      <c r="I70" s="294">
        <v>65</v>
      </c>
      <c r="J70" s="294">
        <v>60</v>
      </c>
      <c r="K70" s="294">
        <v>75</v>
      </c>
      <c r="L70" s="294">
        <v>65</v>
      </c>
      <c r="M70" s="294">
        <v>55</v>
      </c>
      <c r="N70" s="294">
        <v>55</v>
      </c>
      <c r="O70" s="278">
        <v>785</v>
      </c>
      <c r="P70" s="47"/>
      <c r="Q70" s="47"/>
      <c r="R70" s="47"/>
      <c r="S70" s="47"/>
      <c r="T70" s="47"/>
      <c r="U70" s="47"/>
      <c r="V70" s="47"/>
      <c r="W70" s="47"/>
      <c r="X70" s="47"/>
      <c r="Y70" s="47"/>
      <c r="Z70" s="47"/>
      <c r="AA70" s="47"/>
      <c r="AB70" s="47"/>
      <c r="AE70" s="308"/>
    </row>
    <row r="71" spans="1:31" s="46" customFormat="1" ht="12.75" x14ac:dyDescent="0.2">
      <c r="A71" s="162" t="s">
        <v>332</v>
      </c>
      <c r="B71" s="163" t="s">
        <v>460</v>
      </c>
      <c r="C71" s="293">
        <v>515</v>
      </c>
      <c r="D71" s="294">
        <v>575</v>
      </c>
      <c r="E71" s="294">
        <v>585</v>
      </c>
      <c r="F71" s="294">
        <v>525</v>
      </c>
      <c r="G71" s="294">
        <v>520</v>
      </c>
      <c r="H71" s="294">
        <v>410</v>
      </c>
      <c r="I71" s="294">
        <v>285</v>
      </c>
      <c r="J71" s="294">
        <v>390</v>
      </c>
      <c r="K71" s="294">
        <v>365</v>
      </c>
      <c r="L71" s="294">
        <v>360</v>
      </c>
      <c r="M71" s="294">
        <v>330</v>
      </c>
      <c r="N71" s="294">
        <v>245</v>
      </c>
      <c r="O71" s="278">
        <v>5110</v>
      </c>
      <c r="P71" s="47"/>
      <c r="Q71" s="47"/>
      <c r="R71" s="47"/>
      <c r="S71" s="47"/>
      <c r="T71" s="47"/>
      <c r="U71" s="47"/>
      <c r="V71" s="47"/>
      <c r="W71" s="47"/>
      <c r="X71" s="47"/>
      <c r="Y71" s="47"/>
      <c r="Z71" s="47"/>
      <c r="AA71" s="47"/>
      <c r="AB71" s="47"/>
      <c r="AE71" s="308"/>
    </row>
    <row r="72" spans="1:31" s="46" customFormat="1" ht="12.75" x14ac:dyDescent="0.2">
      <c r="A72" s="162" t="s">
        <v>333</v>
      </c>
      <c r="B72" s="163" t="s">
        <v>461</v>
      </c>
      <c r="C72" s="293">
        <v>75</v>
      </c>
      <c r="D72" s="294">
        <v>65</v>
      </c>
      <c r="E72" s="294">
        <v>65</v>
      </c>
      <c r="F72" s="294">
        <v>70</v>
      </c>
      <c r="G72" s="294">
        <v>70</v>
      </c>
      <c r="H72" s="294">
        <v>60</v>
      </c>
      <c r="I72" s="294">
        <v>60</v>
      </c>
      <c r="J72" s="294">
        <v>70</v>
      </c>
      <c r="K72" s="294">
        <v>65</v>
      </c>
      <c r="L72" s="294">
        <v>60</v>
      </c>
      <c r="M72" s="294">
        <v>60</v>
      </c>
      <c r="N72" s="294">
        <v>50</v>
      </c>
      <c r="O72" s="278">
        <v>765</v>
      </c>
      <c r="P72" s="47"/>
      <c r="Q72" s="47"/>
      <c r="R72" s="47"/>
      <c r="S72" s="47"/>
      <c r="T72" s="47"/>
      <c r="U72" s="47"/>
      <c r="V72" s="47"/>
      <c r="W72" s="47"/>
      <c r="X72" s="47"/>
      <c r="Y72" s="47"/>
      <c r="Z72" s="47"/>
      <c r="AA72" s="47"/>
      <c r="AB72" s="47"/>
      <c r="AE72" s="308"/>
    </row>
    <row r="73" spans="1:31" s="46" customFormat="1" ht="12.75" x14ac:dyDescent="0.2">
      <c r="A73" s="164" t="s">
        <v>334</v>
      </c>
      <c r="B73" s="163" t="s">
        <v>462</v>
      </c>
      <c r="C73" s="293">
        <v>170</v>
      </c>
      <c r="D73" s="294">
        <v>170</v>
      </c>
      <c r="E73" s="294">
        <v>180</v>
      </c>
      <c r="F73" s="294">
        <v>185</v>
      </c>
      <c r="G73" s="294">
        <v>190</v>
      </c>
      <c r="H73" s="294">
        <v>165</v>
      </c>
      <c r="I73" s="294">
        <v>190</v>
      </c>
      <c r="J73" s="294">
        <v>205</v>
      </c>
      <c r="K73" s="294">
        <v>180</v>
      </c>
      <c r="L73" s="294">
        <v>180</v>
      </c>
      <c r="M73" s="294">
        <v>175</v>
      </c>
      <c r="N73" s="294">
        <v>145</v>
      </c>
      <c r="O73" s="278">
        <v>2130</v>
      </c>
      <c r="P73" s="47"/>
      <c r="Q73" s="47"/>
      <c r="R73" s="47"/>
      <c r="S73" s="47"/>
      <c r="T73" s="47"/>
      <c r="U73" s="47"/>
      <c r="V73" s="47"/>
      <c r="W73" s="47"/>
      <c r="X73" s="47"/>
      <c r="Y73" s="47"/>
      <c r="Z73" s="47"/>
      <c r="AA73" s="47"/>
      <c r="AB73" s="47"/>
      <c r="AE73" s="308"/>
    </row>
    <row r="74" spans="1:31" s="46" customFormat="1" ht="12.75" x14ac:dyDescent="0.2">
      <c r="A74" s="162" t="s">
        <v>335</v>
      </c>
      <c r="B74" s="163" t="s">
        <v>463</v>
      </c>
      <c r="C74" s="293">
        <v>255</v>
      </c>
      <c r="D74" s="294">
        <v>220</v>
      </c>
      <c r="E74" s="294">
        <v>215</v>
      </c>
      <c r="F74" s="294">
        <v>260</v>
      </c>
      <c r="G74" s="294">
        <v>250</v>
      </c>
      <c r="H74" s="294">
        <v>215</v>
      </c>
      <c r="I74" s="294">
        <v>225</v>
      </c>
      <c r="J74" s="294">
        <v>265</v>
      </c>
      <c r="K74" s="294">
        <v>290</v>
      </c>
      <c r="L74" s="294">
        <v>250</v>
      </c>
      <c r="M74" s="294">
        <v>280</v>
      </c>
      <c r="N74" s="294">
        <v>225</v>
      </c>
      <c r="O74" s="278">
        <v>2950</v>
      </c>
      <c r="P74" s="47"/>
      <c r="Q74" s="47"/>
      <c r="R74" s="47"/>
      <c r="S74" s="47"/>
      <c r="T74" s="47"/>
      <c r="U74" s="47"/>
      <c r="V74" s="47"/>
      <c r="W74" s="47"/>
      <c r="X74" s="47"/>
      <c r="Y74" s="47"/>
      <c r="Z74" s="47"/>
      <c r="AA74" s="47"/>
      <c r="AB74" s="47"/>
      <c r="AE74" s="308"/>
    </row>
    <row r="75" spans="1:31" s="46" customFormat="1" ht="12.75" x14ac:dyDescent="0.2">
      <c r="A75" s="162" t="s">
        <v>336</v>
      </c>
      <c r="B75" s="163" t="s">
        <v>464</v>
      </c>
      <c r="C75" s="293">
        <v>45</v>
      </c>
      <c r="D75" s="294">
        <v>40</v>
      </c>
      <c r="E75" s="294">
        <v>50</v>
      </c>
      <c r="F75" s="294">
        <v>50</v>
      </c>
      <c r="G75" s="294">
        <v>50</v>
      </c>
      <c r="H75" s="294">
        <v>55</v>
      </c>
      <c r="I75" s="294">
        <v>45</v>
      </c>
      <c r="J75" s="294">
        <v>50</v>
      </c>
      <c r="K75" s="294">
        <v>50</v>
      </c>
      <c r="L75" s="294">
        <v>50</v>
      </c>
      <c r="M75" s="294">
        <v>55</v>
      </c>
      <c r="N75" s="294">
        <v>40</v>
      </c>
      <c r="O75" s="278">
        <v>575</v>
      </c>
      <c r="P75" s="47"/>
      <c r="Q75" s="47"/>
      <c r="R75" s="47"/>
      <c r="S75" s="47"/>
      <c r="T75" s="47"/>
      <c r="U75" s="47"/>
      <c r="V75" s="47"/>
      <c r="W75" s="47"/>
      <c r="X75" s="47"/>
      <c r="Y75" s="47"/>
      <c r="Z75" s="47"/>
      <c r="AA75" s="47"/>
      <c r="AB75" s="47"/>
      <c r="AE75" s="308"/>
    </row>
    <row r="76" spans="1:31" s="46" customFormat="1" ht="12.75" x14ac:dyDescent="0.2">
      <c r="A76" s="162" t="s">
        <v>337</v>
      </c>
      <c r="B76" s="163" t="s">
        <v>465</v>
      </c>
      <c r="C76" s="293">
        <v>60</v>
      </c>
      <c r="D76" s="294">
        <v>75</v>
      </c>
      <c r="E76" s="294">
        <v>80</v>
      </c>
      <c r="F76" s="294">
        <v>65</v>
      </c>
      <c r="G76" s="294">
        <v>70</v>
      </c>
      <c r="H76" s="294">
        <v>65</v>
      </c>
      <c r="I76" s="294">
        <v>70</v>
      </c>
      <c r="J76" s="294">
        <v>75</v>
      </c>
      <c r="K76" s="294">
        <v>60</v>
      </c>
      <c r="L76" s="294">
        <v>75</v>
      </c>
      <c r="M76" s="294">
        <v>80</v>
      </c>
      <c r="N76" s="294">
        <v>70</v>
      </c>
      <c r="O76" s="278">
        <v>845</v>
      </c>
      <c r="P76" s="47"/>
      <c r="Q76" s="47"/>
      <c r="R76" s="47"/>
      <c r="S76" s="47"/>
      <c r="T76" s="47"/>
      <c r="U76" s="47"/>
      <c r="V76" s="47"/>
      <c r="W76" s="47"/>
      <c r="X76" s="47"/>
      <c r="Y76" s="47"/>
      <c r="Z76" s="47"/>
      <c r="AA76" s="47"/>
      <c r="AB76" s="47"/>
      <c r="AE76" s="308"/>
    </row>
    <row r="77" spans="1:31" s="46" customFormat="1" ht="12.75" x14ac:dyDescent="0.2">
      <c r="A77" s="162" t="s">
        <v>338</v>
      </c>
      <c r="B77" s="163" t="s">
        <v>466</v>
      </c>
      <c r="C77" s="293">
        <v>215</v>
      </c>
      <c r="D77" s="294">
        <v>240</v>
      </c>
      <c r="E77" s="294">
        <v>245</v>
      </c>
      <c r="F77" s="294">
        <v>230</v>
      </c>
      <c r="G77" s="294">
        <v>245</v>
      </c>
      <c r="H77" s="294">
        <v>255</v>
      </c>
      <c r="I77" s="294">
        <v>300</v>
      </c>
      <c r="J77" s="294">
        <v>275</v>
      </c>
      <c r="K77" s="294">
        <v>255</v>
      </c>
      <c r="L77" s="294">
        <v>260</v>
      </c>
      <c r="M77" s="294">
        <v>260</v>
      </c>
      <c r="N77" s="294">
        <v>240</v>
      </c>
      <c r="O77" s="278">
        <v>3020</v>
      </c>
      <c r="P77" s="47"/>
      <c r="Q77" s="47"/>
      <c r="R77" s="47"/>
      <c r="S77" s="47"/>
      <c r="T77" s="47"/>
      <c r="U77" s="47"/>
      <c r="V77" s="47"/>
      <c r="W77" s="47"/>
      <c r="X77" s="47"/>
      <c r="Y77" s="47"/>
      <c r="Z77" s="47"/>
      <c r="AA77" s="47"/>
      <c r="AB77" s="47"/>
      <c r="AE77" s="308"/>
    </row>
    <row r="78" spans="1:31" s="46" customFormat="1" ht="12.75" x14ac:dyDescent="0.2">
      <c r="A78" s="162" t="s">
        <v>339</v>
      </c>
      <c r="B78" s="163" t="s">
        <v>467</v>
      </c>
      <c r="C78" s="293">
        <v>50</v>
      </c>
      <c r="D78" s="294">
        <v>45</v>
      </c>
      <c r="E78" s="294">
        <v>40</v>
      </c>
      <c r="F78" s="294">
        <v>35</v>
      </c>
      <c r="G78" s="294">
        <v>40</v>
      </c>
      <c r="H78" s="294">
        <v>45</v>
      </c>
      <c r="I78" s="294">
        <v>35</v>
      </c>
      <c r="J78" s="294">
        <v>45</v>
      </c>
      <c r="K78" s="294">
        <v>50</v>
      </c>
      <c r="L78" s="294">
        <v>55</v>
      </c>
      <c r="M78" s="294">
        <v>30</v>
      </c>
      <c r="N78" s="294">
        <v>35</v>
      </c>
      <c r="O78" s="278">
        <v>500</v>
      </c>
      <c r="P78" s="47"/>
      <c r="Q78" s="47"/>
      <c r="R78" s="47"/>
      <c r="S78" s="47"/>
      <c r="T78" s="47"/>
      <c r="U78" s="47"/>
      <c r="V78" s="47"/>
      <c r="W78" s="47"/>
      <c r="X78" s="47"/>
      <c r="Y78" s="47"/>
      <c r="Z78" s="47"/>
      <c r="AA78" s="47"/>
      <c r="AB78" s="47"/>
      <c r="AE78" s="308"/>
    </row>
    <row r="79" spans="1:31" s="46" customFormat="1" ht="12.75" x14ac:dyDescent="0.2">
      <c r="A79" s="162" t="s">
        <v>340</v>
      </c>
      <c r="B79" s="163" t="s">
        <v>468</v>
      </c>
      <c r="C79" s="293">
        <v>35</v>
      </c>
      <c r="D79" s="294">
        <v>25</v>
      </c>
      <c r="E79" s="294">
        <v>35</v>
      </c>
      <c r="F79" s="294">
        <v>40</v>
      </c>
      <c r="G79" s="294">
        <v>30</v>
      </c>
      <c r="H79" s="294">
        <v>25</v>
      </c>
      <c r="I79" s="294">
        <v>20</v>
      </c>
      <c r="J79" s="294">
        <v>35</v>
      </c>
      <c r="K79" s="294">
        <v>25</v>
      </c>
      <c r="L79" s="294">
        <v>35</v>
      </c>
      <c r="M79" s="294">
        <v>30</v>
      </c>
      <c r="N79" s="294">
        <v>25</v>
      </c>
      <c r="O79" s="278">
        <v>355</v>
      </c>
      <c r="P79" s="47"/>
      <c r="Q79" s="47"/>
      <c r="R79" s="47"/>
      <c r="S79" s="47"/>
      <c r="T79" s="47"/>
      <c r="U79" s="47"/>
      <c r="V79" s="47"/>
      <c r="W79" s="47"/>
      <c r="X79" s="47"/>
      <c r="Y79" s="47"/>
      <c r="Z79" s="47"/>
      <c r="AA79" s="47"/>
      <c r="AB79" s="47"/>
      <c r="AE79" s="308"/>
    </row>
    <row r="80" spans="1:31" s="46" customFormat="1" ht="12.75" x14ac:dyDescent="0.2">
      <c r="A80" s="162" t="s">
        <v>341</v>
      </c>
      <c r="B80" s="163" t="s">
        <v>469</v>
      </c>
      <c r="C80" s="293">
        <v>135</v>
      </c>
      <c r="D80" s="294">
        <v>165</v>
      </c>
      <c r="E80" s="294">
        <v>155</v>
      </c>
      <c r="F80" s="294">
        <v>150</v>
      </c>
      <c r="G80" s="294">
        <v>150</v>
      </c>
      <c r="H80" s="294">
        <v>175</v>
      </c>
      <c r="I80" s="294">
        <v>185</v>
      </c>
      <c r="J80" s="294">
        <v>190</v>
      </c>
      <c r="K80" s="294">
        <v>170</v>
      </c>
      <c r="L80" s="294">
        <v>180</v>
      </c>
      <c r="M80" s="294">
        <v>150</v>
      </c>
      <c r="N80" s="294">
        <v>165</v>
      </c>
      <c r="O80" s="278">
        <v>1970</v>
      </c>
      <c r="P80" s="47"/>
      <c r="Q80" s="47"/>
      <c r="R80" s="47"/>
      <c r="S80" s="47"/>
      <c r="T80" s="47"/>
      <c r="U80" s="47"/>
      <c r="V80" s="47"/>
      <c r="W80" s="47"/>
      <c r="X80" s="47"/>
      <c r="Y80" s="47"/>
      <c r="Z80" s="47"/>
      <c r="AA80" s="47"/>
      <c r="AB80" s="47"/>
      <c r="AE80" s="308"/>
    </row>
    <row r="81" spans="1:31" s="46" customFormat="1" ht="12.75" x14ac:dyDescent="0.2">
      <c r="A81" s="162" t="s">
        <v>342</v>
      </c>
      <c r="B81" s="163" t="s">
        <v>470</v>
      </c>
      <c r="C81" s="293">
        <v>345</v>
      </c>
      <c r="D81" s="294">
        <v>375</v>
      </c>
      <c r="E81" s="294">
        <v>360</v>
      </c>
      <c r="F81" s="294">
        <v>340</v>
      </c>
      <c r="G81" s="294">
        <v>370</v>
      </c>
      <c r="H81" s="294">
        <v>350</v>
      </c>
      <c r="I81" s="294">
        <v>320</v>
      </c>
      <c r="J81" s="294">
        <v>360</v>
      </c>
      <c r="K81" s="294">
        <v>360</v>
      </c>
      <c r="L81" s="294">
        <v>345</v>
      </c>
      <c r="M81" s="294">
        <v>305</v>
      </c>
      <c r="N81" s="294">
        <v>345</v>
      </c>
      <c r="O81" s="278">
        <v>4180</v>
      </c>
      <c r="P81" s="47"/>
      <c r="Q81" s="47"/>
      <c r="R81" s="47"/>
      <c r="S81" s="47"/>
      <c r="T81" s="47"/>
      <c r="U81" s="47"/>
      <c r="V81" s="47"/>
      <c r="W81" s="47"/>
      <c r="X81" s="47"/>
      <c r="Y81" s="47"/>
      <c r="Z81" s="47"/>
      <c r="AA81" s="47"/>
      <c r="AB81" s="47"/>
      <c r="AE81" s="308"/>
    </row>
    <row r="82" spans="1:31" s="46" customFormat="1" ht="12.75" x14ac:dyDescent="0.2">
      <c r="A82" s="162" t="s">
        <v>343</v>
      </c>
      <c r="B82" s="163" t="s">
        <v>471</v>
      </c>
      <c r="C82" s="293">
        <v>75</v>
      </c>
      <c r="D82" s="294">
        <v>90</v>
      </c>
      <c r="E82" s="294">
        <v>80</v>
      </c>
      <c r="F82" s="294">
        <v>80</v>
      </c>
      <c r="G82" s="294">
        <v>80</v>
      </c>
      <c r="H82" s="294">
        <v>65</v>
      </c>
      <c r="I82" s="294">
        <v>80</v>
      </c>
      <c r="J82" s="294">
        <v>70</v>
      </c>
      <c r="K82" s="294">
        <v>75</v>
      </c>
      <c r="L82" s="294">
        <v>80</v>
      </c>
      <c r="M82" s="294">
        <v>65</v>
      </c>
      <c r="N82" s="294">
        <v>60</v>
      </c>
      <c r="O82" s="278">
        <v>905</v>
      </c>
      <c r="P82" s="47"/>
      <c r="Q82" s="47"/>
      <c r="R82" s="47"/>
      <c r="S82" s="47"/>
      <c r="T82" s="47"/>
      <c r="U82" s="47"/>
      <c r="V82" s="47"/>
      <c r="W82" s="47"/>
      <c r="X82" s="47"/>
      <c r="Y82" s="47"/>
      <c r="Z82" s="47"/>
      <c r="AA82" s="47"/>
      <c r="AB82" s="47"/>
      <c r="AE82" s="308"/>
    </row>
    <row r="83" spans="1:31" s="46" customFormat="1" ht="12.75" x14ac:dyDescent="0.2">
      <c r="A83" s="162" t="s">
        <v>344</v>
      </c>
      <c r="B83" s="163" t="s">
        <v>472</v>
      </c>
      <c r="C83" s="293">
        <v>35</v>
      </c>
      <c r="D83" s="294">
        <v>50</v>
      </c>
      <c r="E83" s="294">
        <v>45</v>
      </c>
      <c r="F83" s="294">
        <v>45</v>
      </c>
      <c r="G83" s="294">
        <v>50</v>
      </c>
      <c r="H83" s="294">
        <v>40</v>
      </c>
      <c r="I83" s="294">
        <v>45</v>
      </c>
      <c r="J83" s="294">
        <v>45</v>
      </c>
      <c r="K83" s="294">
        <v>35</v>
      </c>
      <c r="L83" s="294">
        <v>35</v>
      </c>
      <c r="M83" s="294">
        <v>50</v>
      </c>
      <c r="N83" s="294" t="s">
        <v>535</v>
      </c>
      <c r="O83" s="278">
        <v>480</v>
      </c>
      <c r="P83" s="47"/>
      <c r="Q83" s="47"/>
      <c r="R83" s="47"/>
      <c r="S83" s="47"/>
      <c r="T83" s="47"/>
      <c r="U83" s="47"/>
      <c r="V83" s="47"/>
      <c r="W83" s="47"/>
      <c r="X83" s="47"/>
      <c r="Y83" s="47"/>
      <c r="Z83" s="47"/>
      <c r="AA83" s="47"/>
      <c r="AB83" s="47"/>
      <c r="AE83" s="308"/>
    </row>
    <row r="84" spans="1:31" s="46" customFormat="1" ht="12.75" x14ac:dyDescent="0.2">
      <c r="A84" s="162" t="s">
        <v>345</v>
      </c>
      <c r="B84" s="163" t="s">
        <v>473</v>
      </c>
      <c r="C84" s="293">
        <v>65</v>
      </c>
      <c r="D84" s="294">
        <v>50</v>
      </c>
      <c r="E84" s="294">
        <v>55</v>
      </c>
      <c r="F84" s="294">
        <v>65</v>
      </c>
      <c r="G84" s="294">
        <v>60</v>
      </c>
      <c r="H84" s="294">
        <v>55</v>
      </c>
      <c r="I84" s="294">
        <v>75</v>
      </c>
      <c r="J84" s="294">
        <v>50</v>
      </c>
      <c r="K84" s="294">
        <v>75</v>
      </c>
      <c r="L84" s="294">
        <v>65</v>
      </c>
      <c r="M84" s="294">
        <v>45</v>
      </c>
      <c r="N84" s="294">
        <v>45</v>
      </c>
      <c r="O84" s="278">
        <v>705</v>
      </c>
      <c r="P84" s="47"/>
      <c r="Q84" s="47"/>
      <c r="R84" s="47"/>
      <c r="S84" s="47"/>
      <c r="T84" s="47"/>
      <c r="U84" s="47"/>
      <c r="V84" s="47"/>
      <c r="W84" s="47"/>
      <c r="X84" s="47"/>
      <c r="Y84" s="47"/>
      <c r="Z84" s="47"/>
      <c r="AA84" s="47"/>
      <c r="AB84" s="47"/>
      <c r="AE84" s="308"/>
    </row>
    <row r="85" spans="1:31" s="46" customFormat="1" ht="12.75" x14ac:dyDescent="0.2">
      <c r="A85" s="162" t="s">
        <v>346</v>
      </c>
      <c r="B85" s="163" t="s">
        <v>474</v>
      </c>
      <c r="C85" s="293">
        <v>100</v>
      </c>
      <c r="D85" s="294">
        <v>95</v>
      </c>
      <c r="E85" s="294">
        <v>110</v>
      </c>
      <c r="F85" s="294">
        <v>105</v>
      </c>
      <c r="G85" s="294">
        <v>105</v>
      </c>
      <c r="H85" s="294">
        <v>120</v>
      </c>
      <c r="I85" s="294">
        <v>110</v>
      </c>
      <c r="J85" s="294">
        <v>115</v>
      </c>
      <c r="K85" s="294">
        <v>95</v>
      </c>
      <c r="L85" s="294">
        <v>115</v>
      </c>
      <c r="M85" s="294">
        <v>90</v>
      </c>
      <c r="N85" s="294">
        <v>85</v>
      </c>
      <c r="O85" s="278">
        <v>1230</v>
      </c>
      <c r="P85" s="47"/>
      <c r="Q85" s="47"/>
      <c r="R85" s="47"/>
      <c r="S85" s="47"/>
      <c r="T85" s="47"/>
      <c r="U85" s="47"/>
      <c r="V85" s="47"/>
      <c r="W85" s="47"/>
      <c r="X85" s="47"/>
      <c r="Y85" s="47"/>
      <c r="Z85" s="47"/>
      <c r="AA85" s="47"/>
      <c r="AB85" s="47"/>
      <c r="AE85" s="308"/>
    </row>
    <row r="86" spans="1:31" s="46" customFormat="1" ht="12.75" x14ac:dyDescent="0.2">
      <c r="A86" s="162" t="s">
        <v>347</v>
      </c>
      <c r="B86" s="163" t="s">
        <v>475</v>
      </c>
      <c r="C86" s="293">
        <v>60</v>
      </c>
      <c r="D86" s="294">
        <v>60</v>
      </c>
      <c r="E86" s="294">
        <v>65</v>
      </c>
      <c r="F86" s="294">
        <v>65</v>
      </c>
      <c r="G86" s="294">
        <v>65</v>
      </c>
      <c r="H86" s="294">
        <v>55</v>
      </c>
      <c r="I86" s="294">
        <v>65</v>
      </c>
      <c r="J86" s="294">
        <v>60</v>
      </c>
      <c r="K86" s="294">
        <v>70</v>
      </c>
      <c r="L86" s="294">
        <v>65</v>
      </c>
      <c r="M86" s="294">
        <v>50</v>
      </c>
      <c r="N86" s="294">
        <v>45</v>
      </c>
      <c r="O86" s="278">
        <v>725</v>
      </c>
      <c r="P86" s="47"/>
      <c r="Q86" s="47"/>
      <c r="R86" s="47"/>
      <c r="S86" s="47"/>
      <c r="T86" s="47"/>
      <c r="U86" s="47"/>
      <c r="V86" s="47"/>
      <c r="W86" s="47"/>
      <c r="X86" s="47"/>
      <c r="Y86" s="47"/>
      <c r="Z86" s="47"/>
      <c r="AA86" s="47"/>
      <c r="AB86" s="47"/>
      <c r="AE86" s="308"/>
    </row>
    <row r="87" spans="1:31" s="46" customFormat="1" ht="12.75" x14ac:dyDescent="0.2">
      <c r="A87" s="162" t="s">
        <v>348</v>
      </c>
      <c r="B87" s="163" t="s">
        <v>476</v>
      </c>
      <c r="C87" s="293">
        <v>80</v>
      </c>
      <c r="D87" s="294">
        <v>95</v>
      </c>
      <c r="E87" s="294">
        <v>90</v>
      </c>
      <c r="F87" s="294">
        <v>105</v>
      </c>
      <c r="G87" s="294">
        <v>100</v>
      </c>
      <c r="H87" s="294">
        <v>125</v>
      </c>
      <c r="I87" s="294">
        <v>135</v>
      </c>
      <c r="J87" s="294">
        <v>125</v>
      </c>
      <c r="K87" s="294">
        <v>110</v>
      </c>
      <c r="L87" s="294">
        <v>160</v>
      </c>
      <c r="M87" s="294">
        <v>130</v>
      </c>
      <c r="N87" s="294">
        <v>120</v>
      </c>
      <c r="O87" s="278">
        <v>1365</v>
      </c>
      <c r="P87" s="47"/>
      <c r="Q87" s="47"/>
      <c r="R87" s="47"/>
      <c r="S87" s="47"/>
      <c r="T87" s="47"/>
      <c r="U87" s="47"/>
      <c r="V87" s="47"/>
      <c r="W87" s="47"/>
      <c r="X87" s="47"/>
      <c r="Y87" s="47"/>
      <c r="Z87" s="47"/>
      <c r="AA87" s="47"/>
      <c r="AB87" s="47"/>
      <c r="AE87" s="308"/>
    </row>
    <row r="88" spans="1:31" s="46" customFormat="1" ht="12.75" x14ac:dyDescent="0.2">
      <c r="A88" s="164" t="s">
        <v>349</v>
      </c>
      <c r="B88" s="163" t="s">
        <v>477</v>
      </c>
      <c r="C88" s="293">
        <v>75</v>
      </c>
      <c r="D88" s="294">
        <v>85</v>
      </c>
      <c r="E88" s="294">
        <v>75</v>
      </c>
      <c r="F88" s="294">
        <v>75</v>
      </c>
      <c r="G88" s="294">
        <v>90</v>
      </c>
      <c r="H88" s="294">
        <v>75</v>
      </c>
      <c r="I88" s="294">
        <v>75</v>
      </c>
      <c r="J88" s="294">
        <v>70</v>
      </c>
      <c r="K88" s="294">
        <v>70</v>
      </c>
      <c r="L88" s="294">
        <v>75</v>
      </c>
      <c r="M88" s="294">
        <v>80</v>
      </c>
      <c r="N88" s="294">
        <v>70</v>
      </c>
      <c r="O88" s="278">
        <v>910</v>
      </c>
      <c r="P88" s="47"/>
      <c r="Q88" s="47"/>
      <c r="R88" s="47"/>
      <c r="S88" s="47"/>
      <c r="T88" s="47"/>
      <c r="U88" s="47"/>
      <c r="V88" s="47"/>
      <c r="W88" s="47"/>
      <c r="X88" s="47"/>
      <c r="Y88" s="47"/>
      <c r="Z88" s="47"/>
      <c r="AA88" s="47"/>
      <c r="AB88" s="47"/>
      <c r="AE88" s="308"/>
    </row>
    <row r="89" spans="1:31" s="46" customFormat="1" ht="12.75" x14ac:dyDescent="0.2">
      <c r="A89" s="162" t="s">
        <v>350</v>
      </c>
      <c r="B89" s="163" t="s">
        <v>478</v>
      </c>
      <c r="C89" s="293">
        <v>40</v>
      </c>
      <c r="D89" s="294">
        <v>50</v>
      </c>
      <c r="E89" s="294">
        <v>40</v>
      </c>
      <c r="F89" s="294">
        <v>45</v>
      </c>
      <c r="G89" s="294">
        <v>50</v>
      </c>
      <c r="H89" s="294">
        <v>45</v>
      </c>
      <c r="I89" s="294">
        <v>45</v>
      </c>
      <c r="J89" s="294">
        <v>50</v>
      </c>
      <c r="K89" s="294">
        <v>35</v>
      </c>
      <c r="L89" s="294">
        <v>55</v>
      </c>
      <c r="M89" s="294">
        <v>40</v>
      </c>
      <c r="N89" s="294">
        <v>45</v>
      </c>
      <c r="O89" s="278">
        <v>545</v>
      </c>
      <c r="P89" s="47"/>
      <c r="Q89" s="47"/>
      <c r="R89" s="47"/>
      <c r="S89" s="47"/>
      <c r="T89" s="47"/>
      <c r="U89" s="47"/>
      <c r="V89" s="47"/>
      <c r="W89" s="47"/>
      <c r="X89" s="47"/>
      <c r="Y89" s="47"/>
      <c r="Z89" s="47"/>
      <c r="AA89" s="47"/>
      <c r="AB89" s="47"/>
      <c r="AE89" s="308"/>
    </row>
    <row r="90" spans="1:31" s="46" customFormat="1" ht="12.75" x14ac:dyDescent="0.2">
      <c r="A90" s="164" t="s">
        <v>351</v>
      </c>
      <c r="B90" s="163" t="s">
        <v>479</v>
      </c>
      <c r="C90" s="293">
        <v>60</v>
      </c>
      <c r="D90" s="294">
        <v>55</v>
      </c>
      <c r="E90" s="294">
        <v>65</v>
      </c>
      <c r="F90" s="294">
        <v>50</v>
      </c>
      <c r="G90" s="294">
        <v>50</v>
      </c>
      <c r="H90" s="294">
        <v>55</v>
      </c>
      <c r="I90" s="294">
        <v>55</v>
      </c>
      <c r="J90" s="294">
        <v>65</v>
      </c>
      <c r="K90" s="294">
        <v>70</v>
      </c>
      <c r="L90" s="294">
        <v>75</v>
      </c>
      <c r="M90" s="294">
        <v>60</v>
      </c>
      <c r="N90" s="294">
        <v>60</v>
      </c>
      <c r="O90" s="278">
        <v>730</v>
      </c>
      <c r="P90" s="47"/>
      <c r="Q90" s="47"/>
      <c r="R90" s="47"/>
      <c r="S90" s="47"/>
      <c r="T90" s="47"/>
      <c r="U90" s="47"/>
      <c r="V90" s="47"/>
      <c r="W90" s="47"/>
      <c r="X90" s="47"/>
      <c r="Y90" s="47"/>
      <c r="Z90" s="47"/>
      <c r="AA90" s="47"/>
      <c r="AB90" s="47"/>
      <c r="AE90" s="308"/>
    </row>
    <row r="91" spans="1:31" s="46" customFormat="1" ht="12.75" x14ac:dyDescent="0.2">
      <c r="A91" s="162" t="s">
        <v>352</v>
      </c>
      <c r="B91" s="163" t="s">
        <v>480</v>
      </c>
      <c r="C91" s="293">
        <v>30</v>
      </c>
      <c r="D91" s="294">
        <v>20</v>
      </c>
      <c r="E91" s="294">
        <v>30</v>
      </c>
      <c r="F91" s="294">
        <v>30</v>
      </c>
      <c r="G91" s="294">
        <v>30</v>
      </c>
      <c r="H91" s="294">
        <v>30</v>
      </c>
      <c r="I91" s="294">
        <v>35</v>
      </c>
      <c r="J91" s="294">
        <v>35</v>
      </c>
      <c r="K91" s="294">
        <v>35</v>
      </c>
      <c r="L91" s="294">
        <v>35</v>
      </c>
      <c r="M91" s="294">
        <v>25</v>
      </c>
      <c r="N91" s="294">
        <v>20</v>
      </c>
      <c r="O91" s="278">
        <v>360</v>
      </c>
      <c r="P91" s="47"/>
      <c r="Q91" s="47"/>
      <c r="R91" s="47"/>
      <c r="S91" s="47"/>
      <c r="T91" s="47"/>
      <c r="U91" s="47"/>
      <c r="V91" s="47"/>
      <c r="W91" s="47"/>
      <c r="X91" s="47"/>
      <c r="Y91" s="47"/>
      <c r="Z91" s="47"/>
      <c r="AA91" s="47"/>
      <c r="AB91" s="47"/>
      <c r="AE91" s="308"/>
    </row>
    <row r="92" spans="1:31" s="46" customFormat="1" ht="12.75" x14ac:dyDescent="0.2">
      <c r="A92" s="162" t="s">
        <v>353</v>
      </c>
      <c r="B92" s="163" t="s">
        <v>481</v>
      </c>
      <c r="C92" s="293">
        <v>95</v>
      </c>
      <c r="D92" s="294">
        <v>95</v>
      </c>
      <c r="E92" s="294">
        <v>90</v>
      </c>
      <c r="F92" s="294">
        <v>85</v>
      </c>
      <c r="G92" s="294">
        <v>85</v>
      </c>
      <c r="H92" s="294">
        <v>80</v>
      </c>
      <c r="I92" s="294">
        <v>85</v>
      </c>
      <c r="J92" s="294">
        <v>90</v>
      </c>
      <c r="K92" s="294">
        <v>100</v>
      </c>
      <c r="L92" s="294">
        <v>95</v>
      </c>
      <c r="M92" s="294">
        <v>90</v>
      </c>
      <c r="N92" s="294">
        <v>75</v>
      </c>
      <c r="O92" s="278">
        <v>1060</v>
      </c>
      <c r="P92" s="47"/>
      <c r="Q92" s="47"/>
      <c r="R92" s="47"/>
      <c r="S92" s="47"/>
      <c r="T92" s="47"/>
      <c r="U92" s="47"/>
      <c r="V92" s="47"/>
      <c r="W92" s="47"/>
      <c r="X92" s="47"/>
      <c r="Y92" s="47"/>
      <c r="Z92" s="47"/>
      <c r="AA92" s="47"/>
      <c r="AB92" s="47"/>
      <c r="AE92" s="308"/>
    </row>
    <row r="93" spans="1:31" s="46" customFormat="1" ht="12.75" x14ac:dyDescent="0.2">
      <c r="A93" s="164" t="s">
        <v>354</v>
      </c>
      <c r="B93" s="163" t="s">
        <v>482</v>
      </c>
      <c r="C93" s="293">
        <v>95</v>
      </c>
      <c r="D93" s="294">
        <v>80</v>
      </c>
      <c r="E93" s="294">
        <v>85</v>
      </c>
      <c r="F93" s="294">
        <v>90</v>
      </c>
      <c r="G93" s="294">
        <v>75</v>
      </c>
      <c r="H93" s="294">
        <v>85</v>
      </c>
      <c r="I93" s="294">
        <v>75</v>
      </c>
      <c r="J93" s="294">
        <v>70</v>
      </c>
      <c r="K93" s="294">
        <v>65</v>
      </c>
      <c r="L93" s="294">
        <v>90</v>
      </c>
      <c r="M93" s="294">
        <v>90</v>
      </c>
      <c r="N93" s="294">
        <v>90</v>
      </c>
      <c r="O93" s="278">
        <v>995</v>
      </c>
      <c r="P93" s="47"/>
      <c r="Q93" s="47"/>
      <c r="R93" s="47"/>
      <c r="S93" s="47"/>
      <c r="T93" s="47"/>
      <c r="U93" s="47"/>
      <c r="V93" s="47"/>
      <c r="W93" s="47"/>
      <c r="X93" s="47"/>
      <c r="Y93" s="47"/>
      <c r="Z93" s="47"/>
      <c r="AA93" s="47"/>
      <c r="AB93" s="47"/>
      <c r="AE93" s="308"/>
    </row>
    <row r="94" spans="1:31" s="46" customFormat="1" ht="12.75" x14ac:dyDescent="0.2">
      <c r="A94" s="162" t="s">
        <v>355</v>
      </c>
      <c r="B94" s="163" t="s">
        <v>483</v>
      </c>
      <c r="C94" s="293">
        <v>15</v>
      </c>
      <c r="D94" s="294">
        <v>10</v>
      </c>
      <c r="E94" s="294">
        <v>10</v>
      </c>
      <c r="F94" s="294">
        <v>10</v>
      </c>
      <c r="G94" s="294">
        <v>15</v>
      </c>
      <c r="H94" s="294">
        <v>15</v>
      </c>
      <c r="I94" s="294">
        <v>15</v>
      </c>
      <c r="J94" s="294">
        <v>10</v>
      </c>
      <c r="K94" s="294">
        <v>10</v>
      </c>
      <c r="L94" s="294" t="s">
        <v>534</v>
      </c>
      <c r="M94" s="294">
        <v>10</v>
      </c>
      <c r="N94" s="294" t="s">
        <v>534</v>
      </c>
      <c r="O94" s="278">
        <v>120</v>
      </c>
      <c r="P94" s="47"/>
      <c r="Q94" s="47"/>
      <c r="R94" s="47"/>
      <c r="S94" s="47"/>
      <c r="T94" s="47"/>
      <c r="U94" s="47"/>
      <c r="V94" s="47"/>
      <c r="W94" s="47"/>
      <c r="X94" s="47"/>
      <c r="Y94" s="47"/>
      <c r="Z94" s="47"/>
      <c r="AA94" s="47"/>
      <c r="AB94" s="47"/>
      <c r="AE94" s="308"/>
    </row>
    <row r="95" spans="1:31" s="46" customFormat="1" ht="12.75" x14ac:dyDescent="0.2">
      <c r="A95" s="162" t="s">
        <v>356</v>
      </c>
      <c r="B95" s="163" t="s">
        <v>484</v>
      </c>
      <c r="C95" s="293">
        <v>120</v>
      </c>
      <c r="D95" s="294">
        <v>115</v>
      </c>
      <c r="E95" s="294">
        <v>135</v>
      </c>
      <c r="F95" s="294">
        <v>120</v>
      </c>
      <c r="G95" s="294">
        <v>115</v>
      </c>
      <c r="H95" s="294">
        <v>135</v>
      </c>
      <c r="I95" s="294">
        <v>135</v>
      </c>
      <c r="J95" s="294">
        <v>140</v>
      </c>
      <c r="K95" s="294">
        <v>100</v>
      </c>
      <c r="L95" s="294">
        <v>115</v>
      </c>
      <c r="M95" s="294">
        <v>135</v>
      </c>
      <c r="N95" s="294">
        <v>105</v>
      </c>
      <c r="O95" s="278">
        <v>1470</v>
      </c>
      <c r="P95" s="47"/>
      <c r="Q95" s="47"/>
      <c r="R95" s="47"/>
      <c r="S95" s="47"/>
      <c r="T95" s="47"/>
      <c r="U95" s="47"/>
      <c r="V95" s="47"/>
      <c r="W95" s="47"/>
      <c r="X95" s="47"/>
      <c r="Y95" s="47"/>
      <c r="Z95" s="47"/>
      <c r="AA95" s="47"/>
      <c r="AB95" s="47"/>
      <c r="AE95" s="308"/>
    </row>
    <row r="96" spans="1:31" s="46" customFormat="1" ht="12.75" x14ac:dyDescent="0.2">
      <c r="A96" s="162" t="s">
        <v>357</v>
      </c>
      <c r="B96" s="163" t="s">
        <v>485</v>
      </c>
      <c r="C96" s="293">
        <v>50</v>
      </c>
      <c r="D96" s="294">
        <v>65</v>
      </c>
      <c r="E96" s="294">
        <v>55</v>
      </c>
      <c r="F96" s="294">
        <v>65</v>
      </c>
      <c r="G96" s="294">
        <v>55</v>
      </c>
      <c r="H96" s="294">
        <v>70</v>
      </c>
      <c r="I96" s="294">
        <v>65</v>
      </c>
      <c r="J96" s="294">
        <v>65</v>
      </c>
      <c r="K96" s="294">
        <v>55</v>
      </c>
      <c r="L96" s="294">
        <v>55</v>
      </c>
      <c r="M96" s="294">
        <v>70</v>
      </c>
      <c r="N96" s="294">
        <v>45</v>
      </c>
      <c r="O96" s="278">
        <v>710</v>
      </c>
      <c r="P96" s="47"/>
      <c r="Q96" s="47"/>
      <c r="R96" s="47"/>
      <c r="S96" s="47"/>
      <c r="T96" s="47"/>
      <c r="U96" s="47"/>
      <c r="V96" s="47"/>
      <c r="W96" s="47"/>
      <c r="X96" s="47"/>
      <c r="Y96" s="47"/>
      <c r="Z96" s="47"/>
      <c r="AA96" s="47"/>
      <c r="AB96" s="47"/>
      <c r="AE96" s="308"/>
    </row>
    <row r="97" spans="1:31" s="46" customFormat="1" ht="12.75" x14ac:dyDescent="0.2">
      <c r="A97" s="162" t="s">
        <v>358</v>
      </c>
      <c r="B97" s="163" t="s">
        <v>486</v>
      </c>
      <c r="C97" s="293">
        <v>120</v>
      </c>
      <c r="D97" s="294">
        <v>115</v>
      </c>
      <c r="E97" s="294">
        <v>95</v>
      </c>
      <c r="F97" s="294">
        <v>100</v>
      </c>
      <c r="G97" s="294">
        <v>95</v>
      </c>
      <c r="H97" s="294">
        <v>100</v>
      </c>
      <c r="I97" s="294">
        <v>95</v>
      </c>
      <c r="J97" s="294">
        <v>110</v>
      </c>
      <c r="K97" s="294">
        <v>100</v>
      </c>
      <c r="L97" s="294">
        <v>90</v>
      </c>
      <c r="M97" s="294">
        <v>80</v>
      </c>
      <c r="N97" s="294">
        <v>90</v>
      </c>
      <c r="O97" s="278">
        <v>1195</v>
      </c>
      <c r="P97" s="47"/>
      <c r="Q97" s="47"/>
      <c r="R97" s="47"/>
      <c r="S97" s="47"/>
      <c r="T97" s="47"/>
      <c r="U97" s="47"/>
      <c r="V97" s="47"/>
      <c r="W97" s="47"/>
      <c r="X97" s="47"/>
      <c r="Y97" s="47"/>
      <c r="Z97" s="47"/>
      <c r="AA97" s="47"/>
      <c r="AB97" s="47"/>
      <c r="AE97" s="308"/>
    </row>
    <row r="98" spans="1:31" s="46" customFormat="1" ht="12.75" x14ac:dyDescent="0.2">
      <c r="A98" s="162" t="s">
        <v>359</v>
      </c>
      <c r="B98" s="163" t="s">
        <v>487</v>
      </c>
      <c r="C98" s="293">
        <v>40</v>
      </c>
      <c r="D98" s="294">
        <v>55</v>
      </c>
      <c r="E98" s="294">
        <v>55</v>
      </c>
      <c r="F98" s="294">
        <v>50</v>
      </c>
      <c r="G98" s="294">
        <v>45</v>
      </c>
      <c r="H98" s="294">
        <v>50</v>
      </c>
      <c r="I98" s="294">
        <v>45</v>
      </c>
      <c r="J98" s="294">
        <v>55</v>
      </c>
      <c r="K98" s="294">
        <v>40</v>
      </c>
      <c r="L98" s="294">
        <v>45</v>
      </c>
      <c r="M98" s="294">
        <v>50</v>
      </c>
      <c r="N98" s="294">
        <v>45</v>
      </c>
      <c r="O98" s="278">
        <v>575</v>
      </c>
      <c r="P98" s="47"/>
      <c r="Q98" s="47"/>
      <c r="R98" s="47"/>
      <c r="S98" s="47"/>
      <c r="T98" s="47"/>
      <c r="U98" s="47"/>
      <c r="V98" s="47"/>
      <c r="W98" s="47"/>
      <c r="X98" s="47"/>
      <c r="Y98" s="47"/>
      <c r="Z98" s="47"/>
      <c r="AA98" s="47"/>
      <c r="AB98" s="47"/>
      <c r="AE98" s="308"/>
    </row>
    <row r="99" spans="1:31" s="46" customFormat="1" ht="12.75" x14ac:dyDescent="0.2">
      <c r="A99" s="162" t="s">
        <v>360</v>
      </c>
      <c r="B99" s="163" t="s">
        <v>488</v>
      </c>
      <c r="C99" s="293" t="s">
        <v>534</v>
      </c>
      <c r="D99" s="294" t="s">
        <v>534</v>
      </c>
      <c r="E99" s="294" t="s">
        <v>534</v>
      </c>
      <c r="F99" s="294" t="s">
        <v>535</v>
      </c>
      <c r="G99" s="294" t="s">
        <v>534</v>
      </c>
      <c r="H99" s="294" t="s">
        <v>534</v>
      </c>
      <c r="I99" s="294" t="s">
        <v>535</v>
      </c>
      <c r="J99" s="294">
        <v>20</v>
      </c>
      <c r="K99" s="294">
        <v>25</v>
      </c>
      <c r="L99" s="294">
        <v>25</v>
      </c>
      <c r="M99" s="294">
        <v>20</v>
      </c>
      <c r="N99" s="294" t="s">
        <v>534</v>
      </c>
      <c r="O99" s="278">
        <v>95</v>
      </c>
      <c r="P99" s="47"/>
      <c r="Q99" s="47"/>
      <c r="R99" s="47"/>
      <c r="S99" s="47"/>
      <c r="T99" s="47"/>
      <c r="U99" s="47"/>
      <c r="V99" s="47"/>
      <c r="W99" s="47"/>
      <c r="X99" s="47"/>
      <c r="Y99" s="47"/>
      <c r="Z99" s="47"/>
      <c r="AA99" s="47"/>
      <c r="AB99" s="47"/>
      <c r="AE99" s="308"/>
    </row>
    <row r="100" spans="1:31" s="46" customFormat="1" ht="12.75" x14ac:dyDescent="0.2">
      <c r="A100" s="162" t="s">
        <v>361</v>
      </c>
      <c r="B100" s="163" t="s">
        <v>489</v>
      </c>
      <c r="C100" s="293">
        <v>50</v>
      </c>
      <c r="D100" s="294">
        <v>55</v>
      </c>
      <c r="E100" s="294">
        <v>55</v>
      </c>
      <c r="F100" s="294">
        <v>70</v>
      </c>
      <c r="G100" s="294">
        <v>55</v>
      </c>
      <c r="H100" s="294">
        <v>60</v>
      </c>
      <c r="I100" s="294">
        <v>75</v>
      </c>
      <c r="J100" s="294">
        <v>60</v>
      </c>
      <c r="K100" s="294">
        <v>70</v>
      </c>
      <c r="L100" s="294">
        <v>60</v>
      </c>
      <c r="M100" s="294">
        <v>65</v>
      </c>
      <c r="N100" s="294">
        <v>65</v>
      </c>
      <c r="O100" s="278">
        <v>740</v>
      </c>
      <c r="P100" s="47"/>
      <c r="Q100" s="47"/>
      <c r="R100" s="47"/>
      <c r="S100" s="47"/>
      <c r="T100" s="47"/>
      <c r="U100" s="47"/>
      <c r="V100" s="47"/>
      <c r="W100" s="47"/>
      <c r="X100" s="47"/>
      <c r="Y100" s="47"/>
      <c r="Z100" s="47"/>
      <c r="AA100" s="47"/>
      <c r="AB100" s="47"/>
      <c r="AE100" s="308"/>
    </row>
    <row r="101" spans="1:31" s="46" customFormat="1" ht="12.75" x14ac:dyDescent="0.2">
      <c r="A101" s="162" t="s">
        <v>362</v>
      </c>
      <c r="B101" s="163" t="s">
        <v>490</v>
      </c>
      <c r="C101" s="293">
        <v>465</v>
      </c>
      <c r="D101" s="294">
        <v>490</v>
      </c>
      <c r="E101" s="294">
        <v>500</v>
      </c>
      <c r="F101" s="294">
        <v>465</v>
      </c>
      <c r="G101" s="294">
        <v>500</v>
      </c>
      <c r="H101" s="294">
        <v>430</v>
      </c>
      <c r="I101" s="294">
        <v>500</v>
      </c>
      <c r="J101" s="294">
        <v>510</v>
      </c>
      <c r="K101" s="294">
        <v>485</v>
      </c>
      <c r="L101" s="294">
        <v>500</v>
      </c>
      <c r="M101" s="294">
        <v>470</v>
      </c>
      <c r="N101" s="294">
        <v>345</v>
      </c>
      <c r="O101" s="278">
        <v>5665</v>
      </c>
      <c r="P101" s="47"/>
      <c r="Q101" s="47"/>
      <c r="R101" s="47"/>
      <c r="S101" s="47"/>
      <c r="T101" s="47"/>
      <c r="U101" s="47"/>
      <c r="V101" s="47"/>
      <c r="W101" s="47"/>
      <c r="X101" s="47"/>
      <c r="Y101" s="47"/>
      <c r="Z101" s="47"/>
      <c r="AA101" s="47"/>
      <c r="AB101" s="47"/>
      <c r="AE101" s="308"/>
    </row>
    <row r="102" spans="1:31" s="46" customFormat="1" ht="12.75" x14ac:dyDescent="0.2">
      <c r="A102" s="162" t="s">
        <v>363</v>
      </c>
      <c r="B102" s="163" t="s">
        <v>491</v>
      </c>
      <c r="C102" s="293">
        <v>40</v>
      </c>
      <c r="D102" s="294">
        <v>45</v>
      </c>
      <c r="E102" s="294">
        <v>35</v>
      </c>
      <c r="F102" s="294">
        <v>35</v>
      </c>
      <c r="G102" s="294">
        <v>30</v>
      </c>
      <c r="H102" s="294">
        <v>30</v>
      </c>
      <c r="I102" s="294">
        <v>50</v>
      </c>
      <c r="J102" s="294">
        <v>45</v>
      </c>
      <c r="K102" s="294">
        <v>25</v>
      </c>
      <c r="L102" s="294">
        <v>40</v>
      </c>
      <c r="M102" s="294">
        <v>30</v>
      </c>
      <c r="N102" s="294">
        <v>30</v>
      </c>
      <c r="O102" s="278">
        <v>430</v>
      </c>
      <c r="P102" s="47"/>
      <c r="Q102" s="47"/>
      <c r="R102" s="47"/>
      <c r="S102" s="47"/>
      <c r="T102" s="47"/>
      <c r="U102" s="47"/>
      <c r="V102" s="47"/>
      <c r="W102" s="47"/>
      <c r="X102" s="47"/>
      <c r="Y102" s="47"/>
      <c r="Z102" s="47"/>
      <c r="AA102" s="47"/>
      <c r="AB102" s="47"/>
      <c r="AE102" s="308"/>
    </row>
    <row r="103" spans="1:31" s="46" customFormat="1" ht="12.75" x14ac:dyDescent="0.2">
      <c r="A103" s="164" t="s">
        <v>364</v>
      </c>
      <c r="B103" s="163" t="s">
        <v>492</v>
      </c>
      <c r="C103" s="293">
        <v>30</v>
      </c>
      <c r="D103" s="294">
        <v>30</v>
      </c>
      <c r="E103" s="294">
        <v>25</v>
      </c>
      <c r="F103" s="294">
        <v>30</v>
      </c>
      <c r="G103" s="294">
        <v>30</v>
      </c>
      <c r="H103" s="294">
        <v>20</v>
      </c>
      <c r="I103" s="294">
        <v>10</v>
      </c>
      <c r="J103" s="294">
        <v>65</v>
      </c>
      <c r="K103" s="294">
        <v>65</v>
      </c>
      <c r="L103" s="294">
        <v>65</v>
      </c>
      <c r="M103" s="294">
        <v>70</v>
      </c>
      <c r="N103" s="294">
        <v>50</v>
      </c>
      <c r="O103" s="278">
        <v>495</v>
      </c>
      <c r="P103" s="47"/>
      <c r="Q103" s="47"/>
      <c r="R103" s="47"/>
      <c r="S103" s="47"/>
      <c r="T103" s="47"/>
      <c r="U103" s="47"/>
      <c r="V103" s="47"/>
      <c r="W103" s="47"/>
      <c r="X103" s="47"/>
      <c r="Y103" s="47"/>
      <c r="Z103" s="47"/>
      <c r="AA103" s="47"/>
      <c r="AB103" s="47"/>
      <c r="AE103" s="308"/>
    </row>
    <row r="104" spans="1:31" s="46" customFormat="1" ht="12.75" x14ac:dyDescent="0.2">
      <c r="A104" s="164" t="s">
        <v>365</v>
      </c>
      <c r="B104" s="163" t="s">
        <v>493</v>
      </c>
      <c r="C104" s="293">
        <v>435</v>
      </c>
      <c r="D104" s="294">
        <v>430</v>
      </c>
      <c r="E104" s="294">
        <v>445</v>
      </c>
      <c r="F104" s="294">
        <v>465</v>
      </c>
      <c r="G104" s="294">
        <v>440</v>
      </c>
      <c r="H104" s="294">
        <v>455</v>
      </c>
      <c r="I104" s="294">
        <v>430</v>
      </c>
      <c r="J104" s="294">
        <v>430</v>
      </c>
      <c r="K104" s="294">
        <v>450</v>
      </c>
      <c r="L104" s="294">
        <v>465</v>
      </c>
      <c r="M104" s="294">
        <v>395</v>
      </c>
      <c r="N104" s="294">
        <v>355</v>
      </c>
      <c r="O104" s="278">
        <v>5195</v>
      </c>
      <c r="P104" s="47"/>
      <c r="Q104" s="47"/>
      <c r="R104" s="47"/>
      <c r="S104" s="47"/>
      <c r="T104" s="47"/>
      <c r="U104" s="47"/>
      <c r="V104" s="47"/>
      <c r="W104" s="47"/>
      <c r="X104" s="47"/>
      <c r="Y104" s="47"/>
      <c r="Z104" s="47"/>
      <c r="AA104" s="47"/>
      <c r="AB104" s="47"/>
      <c r="AE104" s="308"/>
    </row>
    <row r="105" spans="1:31" s="46" customFormat="1" ht="12.75" x14ac:dyDescent="0.2">
      <c r="A105" s="164" t="s">
        <v>366</v>
      </c>
      <c r="B105" s="163" t="s">
        <v>494</v>
      </c>
      <c r="C105" s="293">
        <v>285</v>
      </c>
      <c r="D105" s="294">
        <v>315</v>
      </c>
      <c r="E105" s="294">
        <v>335</v>
      </c>
      <c r="F105" s="294">
        <v>310</v>
      </c>
      <c r="G105" s="294">
        <v>315</v>
      </c>
      <c r="H105" s="294">
        <v>320</v>
      </c>
      <c r="I105" s="294">
        <v>325</v>
      </c>
      <c r="J105" s="294">
        <v>370</v>
      </c>
      <c r="K105" s="294">
        <v>320</v>
      </c>
      <c r="L105" s="294">
        <v>335</v>
      </c>
      <c r="M105" s="294">
        <v>300</v>
      </c>
      <c r="N105" s="294">
        <v>275</v>
      </c>
      <c r="O105" s="278">
        <v>3810</v>
      </c>
      <c r="P105" s="47"/>
      <c r="Q105" s="47"/>
      <c r="R105" s="47"/>
      <c r="S105" s="47"/>
      <c r="T105" s="47"/>
      <c r="U105" s="47"/>
      <c r="V105" s="47"/>
      <c r="W105" s="47"/>
      <c r="X105" s="47"/>
      <c r="Y105" s="47"/>
      <c r="Z105" s="47"/>
      <c r="AA105" s="47"/>
      <c r="AB105" s="47"/>
      <c r="AE105" s="308"/>
    </row>
    <row r="106" spans="1:31" s="46" customFormat="1" ht="12.75" x14ac:dyDescent="0.2">
      <c r="A106" s="164" t="s">
        <v>367</v>
      </c>
      <c r="B106" s="163" t="s">
        <v>495</v>
      </c>
      <c r="C106" s="293">
        <v>435</v>
      </c>
      <c r="D106" s="294">
        <v>435</v>
      </c>
      <c r="E106" s="294">
        <v>455</v>
      </c>
      <c r="F106" s="294">
        <v>430</v>
      </c>
      <c r="G106" s="294">
        <v>65</v>
      </c>
      <c r="H106" s="294" t="s">
        <v>535</v>
      </c>
      <c r="I106" s="294" t="s">
        <v>535</v>
      </c>
      <c r="J106" s="294" t="s">
        <v>535</v>
      </c>
      <c r="K106" s="294" t="s">
        <v>535</v>
      </c>
      <c r="L106" s="294" t="s">
        <v>535</v>
      </c>
      <c r="M106" s="294" t="s">
        <v>535</v>
      </c>
      <c r="N106" s="294" t="s">
        <v>535</v>
      </c>
      <c r="O106" s="278">
        <v>1825</v>
      </c>
      <c r="P106" s="47"/>
      <c r="Q106" s="47"/>
      <c r="R106" s="47"/>
      <c r="S106" s="47"/>
      <c r="T106" s="47"/>
      <c r="U106" s="47"/>
      <c r="V106" s="47"/>
      <c r="W106" s="47"/>
      <c r="X106" s="47"/>
      <c r="Y106" s="47"/>
      <c r="Z106" s="47"/>
      <c r="AA106" s="47"/>
      <c r="AB106" s="47"/>
      <c r="AE106" s="308"/>
    </row>
    <row r="107" spans="1:31" s="46" customFormat="1" ht="12.75" x14ac:dyDescent="0.2">
      <c r="A107" s="162" t="s">
        <v>368</v>
      </c>
      <c r="B107" s="163" t="s">
        <v>496</v>
      </c>
      <c r="C107" s="293">
        <v>105</v>
      </c>
      <c r="D107" s="294">
        <v>105</v>
      </c>
      <c r="E107" s="294">
        <v>115</v>
      </c>
      <c r="F107" s="294">
        <v>90</v>
      </c>
      <c r="G107" s="294">
        <v>120</v>
      </c>
      <c r="H107" s="294">
        <v>110</v>
      </c>
      <c r="I107" s="294">
        <v>115</v>
      </c>
      <c r="J107" s="294">
        <v>110</v>
      </c>
      <c r="K107" s="294">
        <v>95</v>
      </c>
      <c r="L107" s="294">
        <v>100</v>
      </c>
      <c r="M107" s="294">
        <v>105</v>
      </c>
      <c r="N107" s="294">
        <v>85</v>
      </c>
      <c r="O107" s="278">
        <v>1255</v>
      </c>
      <c r="P107" s="47"/>
      <c r="Q107" s="47"/>
      <c r="R107" s="47"/>
      <c r="S107" s="47"/>
      <c r="T107" s="47"/>
      <c r="U107" s="47"/>
      <c r="V107" s="47"/>
      <c r="W107" s="47"/>
      <c r="X107" s="47"/>
      <c r="Y107" s="47"/>
      <c r="Z107" s="47"/>
      <c r="AA107" s="47"/>
      <c r="AB107" s="47"/>
      <c r="AE107" s="308"/>
    </row>
    <row r="108" spans="1:31" s="46" customFormat="1" ht="12.75" x14ac:dyDescent="0.2">
      <c r="A108" s="162" t="s">
        <v>369</v>
      </c>
      <c r="B108" s="163" t="s">
        <v>497</v>
      </c>
      <c r="C108" s="293">
        <v>80</v>
      </c>
      <c r="D108" s="294">
        <v>90</v>
      </c>
      <c r="E108" s="294">
        <v>90</v>
      </c>
      <c r="F108" s="294">
        <v>80</v>
      </c>
      <c r="G108" s="294">
        <v>80</v>
      </c>
      <c r="H108" s="294">
        <v>75</v>
      </c>
      <c r="I108" s="294">
        <v>85</v>
      </c>
      <c r="J108" s="294">
        <v>105</v>
      </c>
      <c r="K108" s="294">
        <v>95</v>
      </c>
      <c r="L108" s="294">
        <v>120</v>
      </c>
      <c r="M108" s="294">
        <v>105</v>
      </c>
      <c r="N108" s="294">
        <v>100</v>
      </c>
      <c r="O108" s="278">
        <v>1100</v>
      </c>
      <c r="P108" s="47"/>
      <c r="Q108" s="47"/>
      <c r="R108" s="47"/>
      <c r="S108" s="47"/>
      <c r="T108" s="47"/>
      <c r="U108" s="47"/>
      <c r="V108" s="47"/>
      <c r="W108" s="47"/>
      <c r="X108" s="47"/>
      <c r="Y108" s="47"/>
      <c r="Z108" s="47"/>
      <c r="AA108" s="47"/>
      <c r="AB108" s="47"/>
      <c r="AE108" s="308"/>
    </row>
    <row r="109" spans="1:31" s="46" customFormat="1" ht="12.75" x14ac:dyDescent="0.2">
      <c r="A109" s="164" t="s">
        <v>370</v>
      </c>
      <c r="B109" s="163" t="s">
        <v>498</v>
      </c>
      <c r="C109" s="293">
        <v>280</v>
      </c>
      <c r="D109" s="294">
        <v>300</v>
      </c>
      <c r="E109" s="294">
        <v>300</v>
      </c>
      <c r="F109" s="294">
        <v>270</v>
      </c>
      <c r="G109" s="294">
        <v>335</v>
      </c>
      <c r="H109" s="294">
        <v>325</v>
      </c>
      <c r="I109" s="294">
        <v>315</v>
      </c>
      <c r="J109" s="294">
        <v>310</v>
      </c>
      <c r="K109" s="294">
        <v>290</v>
      </c>
      <c r="L109" s="294">
        <v>350</v>
      </c>
      <c r="M109" s="294">
        <v>290</v>
      </c>
      <c r="N109" s="294">
        <v>260</v>
      </c>
      <c r="O109" s="278">
        <v>3630</v>
      </c>
      <c r="P109" s="47"/>
      <c r="Q109" s="47"/>
      <c r="R109" s="47"/>
      <c r="S109" s="47"/>
      <c r="T109" s="47"/>
      <c r="U109" s="47"/>
      <c r="V109" s="47"/>
      <c r="W109" s="47"/>
      <c r="X109" s="47"/>
      <c r="Y109" s="47"/>
      <c r="Z109" s="47"/>
      <c r="AA109" s="47"/>
      <c r="AB109" s="47"/>
      <c r="AE109" s="308"/>
    </row>
    <row r="110" spans="1:31" s="46" customFormat="1" ht="12.75" x14ac:dyDescent="0.2">
      <c r="A110" s="162" t="s">
        <v>371</v>
      </c>
      <c r="B110" s="163" t="s">
        <v>499</v>
      </c>
      <c r="C110" s="293">
        <v>255</v>
      </c>
      <c r="D110" s="294">
        <v>255</v>
      </c>
      <c r="E110" s="294">
        <v>260</v>
      </c>
      <c r="F110" s="294">
        <v>265</v>
      </c>
      <c r="G110" s="294">
        <v>255</v>
      </c>
      <c r="H110" s="294">
        <v>265</v>
      </c>
      <c r="I110" s="294">
        <v>275</v>
      </c>
      <c r="J110" s="294">
        <v>270</v>
      </c>
      <c r="K110" s="294">
        <v>240</v>
      </c>
      <c r="L110" s="294">
        <v>260</v>
      </c>
      <c r="M110" s="294">
        <v>265</v>
      </c>
      <c r="N110" s="294">
        <v>205</v>
      </c>
      <c r="O110" s="278">
        <v>3060</v>
      </c>
      <c r="P110" s="47"/>
      <c r="Q110" s="47"/>
      <c r="R110" s="47"/>
      <c r="S110" s="47"/>
      <c r="T110" s="47"/>
      <c r="U110" s="47"/>
      <c r="V110" s="47"/>
      <c r="W110" s="47"/>
      <c r="X110" s="47"/>
      <c r="Y110" s="47"/>
      <c r="Z110" s="47"/>
      <c r="AA110" s="47"/>
      <c r="AB110" s="47"/>
      <c r="AE110" s="308"/>
    </row>
    <row r="111" spans="1:31" s="46" customFormat="1" ht="12.75" x14ac:dyDescent="0.2">
      <c r="A111" s="162" t="s">
        <v>372</v>
      </c>
      <c r="B111" s="163" t="s">
        <v>500</v>
      </c>
      <c r="C111" s="293">
        <v>50</v>
      </c>
      <c r="D111" s="294">
        <v>55</v>
      </c>
      <c r="E111" s="294">
        <v>60</v>
      </c>
      <c r="F111" s="294">
        <v>60</v>
      </c>
      <c r="G111" s="294">
        <v>65</v>
      </c>
      <c r="H111" s="294">
        <v>60</v>
      </c>
      <c r="I111" s="294">
        <v>65</v>
      </c>
      <c r="J111" s="294">
        <v>65</v>
      </c>
      <c r="K111" s="294">
        <v>55</v>
      </c>
      <c r="L111" s="294">
        <v>75</v>
      </c>
      <c r="M111" s="294">
        <v>60</v>
      </c>
      <c r="N111" s="294">
        <v>55</v>
      </c>
      <c r="O111" s="278">
        <v>725</v>
      </c>
      <c r="P111" s="47"/>
      <c r="Q111" s="47"/>
      <c r="R111" s="47"/>
      <c r="S111" s="47"/>
      <c r="T111" s="47"/>
      <c r="U111" s="47"/>
      <c r="V111" s="47"/>
      <c r="W111" s="47"/>
      <c r="X111" s="47"/>
      <c r="Y111" s="47"/>
      <c r="Z111" s="47"/>
      <c r="AA111" s="47"/>
      <c r="AB111" s="47"/>
      <c r="AE111" s="308"/>
    </row>
    <row r="112" spans="1:31" s="46" customFormat="1" ht="12.75" x14ac:dyDescent="0.2">
      <c r="A112" s="164" t="s">
        <v>373</v>
      </c>
      <c r="B112" s="163" t="s">
        <v>501</v>
      </c>
      <c r="C112" s="293">
        <v>340</v>
      </c>
      <c r="D112" s="294">
        <v>360</v>
      </c>
      <c r="E112" s="294">
        <v>360</v>
      </c>
      <c r="F112" s="294">
        <v>365</v>
      </c>
      <c r="G112" s="294">
        <v>355</v>
      </c>
      <c r="H112" s="294">
        <v>360</v>
      </c>
      <c r="I112" s="294">
        <v>340</v>
      </c>
      <c r="J112" s="294">
        <v>385</v>
      </c>
      <c r="K112" s="294">
        <v>330</v>
      </c>
      <c r="L112" s="294">
        <v>335</v>
      </c>
      <c r="M112" s="294">
        <v>355</v>
      </c>
      <c r="N112" s="294">
        <v>320</v>
      </c>
      <c r="O112" s="278">
        <v>4205</v>
      </c>
      <c r="P112" s="47"/>
      <c r="Q112" s="47"/>
      <c r="R112" s="47"/>
      <c r="S112" s="47"/>
      <c r="T112" s="47"/>
      <c r="U112" s="47"/>
      <c r="V112" s="47"/>
      <c r="W112" s="47"/>
      <c r="X112" s="47"/>
      <c r="Y112" s="47"/>
      <c r="Z112" s="47"/>
      <c r="AA112" s="47"/>
      <c r="AB112" s="47"/>
      <c r="AE112" s="308"/>
    </row>
    <row r="113" spans="1:31" s="46" customFormat="1" ht="12.75" x14ac:dyDescent="0.2">
      <c r="A113" s="162" t="s">
        <v>374</v>
      </c>
      <c r="B113" s="163" t="s">
        <v>502</v>
      </c>
      <c r="C113" s="293">
        <v>80</v>
      </c>
      <c r="D113" s="294">
        <v>80</v>
      </c>
      <c r="E113" s="294">
        <v>70</v>
      </c>
      <c r="F113" s="294">
        <v>90</v>
      </c>
      <c r="G113" s="294">
        <v>75</v>
      </c>
      <c r="H113" s="294">
        <v>80</v>
      </c>
      <c r="I113" s="294">
        <v>80</v>
      </c>
      <c r="J113" s="294">
        <v>85</v>
      </c>
      <c r="K113" s="294">
        <v>75</v>
      </c>
      <c r="L113" s="294">
        <v>70</v>
      </c>
      <c r="M113" s="294">
        <v>90</v>
      </c>
      <c r="N113" s="294">
        <v>55</v>
      </c>
      <c r="O113" s="278">
        <v>935</v>
      </c>
      <c r="P113" s="47"/>
      <c r="Q113" s="47"/>
      <c r="R113" s="47"/>
      <c r="S113" s="47"/>
      <c r="T113" s="47"/>
      <c r="U113" s="47"/>
      <c r="V113" s="47"/>
      <c r="W113" s="47"/>
      <c r="X113" s="47"/>
      <c r="Y113" s="47"/>
      <c r="Z113" s="47"/>
      <c r="AA113" s="47"/>
      <c r="AB113" s="47"/>
      <c r="AE113" s="308"/>
    </row>
    <row r="114" spans="1:31" s="46" customFormat="1" ht="12.75" x14ac:dyDescent="0.2">
      <c r="A114" s="162" t="s">
        <v>375</v>
      </c>
      <c r="B114" s="163" t="s">
        <v>503</v>
      </c>
      <c r="C114" s="293">
        <v>370</v>
      </c>
      <c r="D114" s="294">
        <v>430</v>
      </c>
      <c r="E114" s="294">
        <v>460</v>
      </c>
      <c r="F114" s="294">
        <v>475</v>
      </c>
      <c r="G114" s="294">
        <v>495</v>
      </c>
      <c r="H114" s="294">
        <v>505</v>
      </c>
      <c r="I114" s="294">
        <v>480</v>
      </c>
      <c r="J114" s="294">
        <v>415</v>
      </c>
      <c r="K114" s="294">
        <v>340</v>
      </c>
      <c r="L114" s="294">
        <v>375</v>
      </c>
      <c r="M114" s="294">
        <v>405</v>
      </c>
      <c r="N114" s="294">
        <v>305</v>
      </c>
      <c r="O114" s="278">
        <v>5065</v>
      </c>
      <c r="P114" s="47"/>
      <c r="Q114" s="47"/>
      <c r="R114" s="47"/>
      <c r="S114" s="47"/>
      <c r="T114" s="47"/>
      <c r="U114" s="47"/>
      <c r="V114" s="47"/>
      <c r="W114" s="47"/>
      <c r="X114" s="47"/>
      <c r="Y114" s="47"/>
      <c r="Z114" s="47"/>
      <c r="AA114" s="47"/>
      <c r="AB114" s="47"/>
      <c r="AE114" s="308"/>
    </row>
    <row r="115" spans="1:31" s="46" customFormat="1" ht="12.75" x14ac:dyDescent="0.2">
      <c r="A115" s="162" t="s">
        <v>376</v>
      </c>
      <c r="B115" s="163" t="s">
        <v>504</v>
      </c>
      <c r="C115" s="293">
        <v>125</v>
      </c>
      <c r="D115" s="294">
        <v>130</v>
      </c>
      <c r="E115" s="294">
        <v>130</v>
      </c>
      <c r="F115" s="294">
        <v>140</v>
      </c>
      <c r="G115" s="294">
        <v>135</v>
      </c>
      <c r="H115" s="294">
        <v>145</v>
      </c>
      <c r="I115" s="294">
        <v>140</v>
      </c>
      <c r="J115" s="294">
        <v>145</v>
      </c>
      <c r="K115" s="294">
        <v>125</v>
      </c>
      <c r="L115" s="294">
        <v>135</v>
      </c>
      <c r="M115" s="294">
        <v>140</v>
      </c>
      <c r="N115" s="294">
        <v>125</v>
      </c>
      <c r="O115" s="278">
        <v>1615</v>
      </c>
      <c r="P115" s="47"/>
      <c r="Q115" s="47"/>
      <c r="R115" s="47"/>
      <c r="S115" s="47"/>
      <c r="T115" s="47"/>
      <c r="U115" s="47"/>
      <c r="V115" s="47"/>
      <c r="W115" s="47"/>
      <c r="X115" s="47"/>
      <c r="Y115" s="47"/>
      <c r="Z115" s="47"/>
      <c r="AA115" s="47"/>
      <c r="AB115" s="47"/>
      <c r="AE115" s="308"/>
    </row>
    <row r="116" spans="1:31" s="46" customFormat="1" ht="12.75" x14ac:dyDescent="0.2">
      <c r="A116" s="164" t="s">
        <v>377</v>
      </c>
      <c r="B116" s="163" t="s">
        <v>505</v>
      </c>
      <c r="C116" s="293">
        <v>130</v>
      </c>
      <c r="D116" s="294">
        <v>150</v>
      </c>
      <c r="E116" s="294">
        <v>160</v>
      </c>
      <c r="F116" s="294">
        <v>155</v>
      </c>
      <c r="G116" s="294">
        <v>175</v>
      </c>
      <c r="H116" s="294">
        <v>145</v>
      </c>
      <c r="I116" s="294">
        <v>150</v>
      </c>
      <c r="J116" s="294">
        <v>175</v>
      </c>
      <c r="K116" s="294">
        <v>155</v>
      </c>
      <c r="L116" s="294">
        <v>160</v>
      </c>
      <c r="M116" s="294">
        <v>140</v>
      </c>
      <c r="N116" s="294">
        <v>120</v>
      </c>
      <c r="O116" s="278">
        <v>1820</v>
      </c>
      <c r="P116" s="47"/>
      <c r="Q116" s="47"/>
      <c r="R116" s="47"/>
      <c r="S116" s="47"/>
      <c r="T116" s="47"/>
      <c r="U116" s="47"/>
      <c r="V116" s="47"/>
      <c r="W116" s="47"/>
      <c r="X116" s="47"/>
      <c r="Y116" s="47"/>
      <c r="Z116" s="47"/>
      <c r="AA116" s="47"/>
      <c r="AB116" s="47"/>
      <c r="AE116" s="308"/>
    </row>
    <row r="117" spans="1:31" s="46" customFormat="1" ht="12.75" x14ac:dyDescent="0.2">
      <c r="A117" s="162" t="s">
        <v>378</v>
      </c>
      <c r="B117" s="163" t="s">
        <v>506</v>
      </c>
      <c r="C117" s="293">
        <v>65</v>
      </c>
      <c r="D117" s="294">
        <v>75</v>
      </c>
      <c r="E117" s="294">
        <v>80</v>
      </c>
      <c r="F117" s="294">
        <v>80</v>
      </c>
      <c r="G117" s="294">
        <v>65</v>
      </c>
      <c r="H117" s="294">
        <v>70</v>
      </c>
      <c r="I117" s="294">
        <v>65</v>
      </c>
      <c r="J117" s="294">
        <v>80</v>
      </c>
      <c r="K117" s="294">
        <v>65</v>
      </c>
      <c r="L117" s="294">
        <v>85</v>
      </c>
      <c r="M117" s="294">
        <v>65</v>
      </c>
      <c r="N117" s="294">
        <v>55</v>
      </c>
      <c r="O117" s="278">
        <v>855</v>
      </c>
      <c r="P117" s="47"/>
      <c r="Q117" s="47"/>
      <c r="R117" s="47"/>
      <c r="S117" s="47"/>
      <c r="T117" s="47"/>
      <c r="U117" s="47"/>
      <c r="V117" s="47"/>
      <c r="W117" s="47"/>
      <c r="X117" s="47"/>
      <c r="Y117" s="47"/>
      <c r="Z117" s="47"/>
      <c r="AA117" s="47"/>
      <c r="AB117" s="47"/>
      <c r="AE117" s="308"/>
    </row>
    <row r="118" spans="1:31" s="46" customFormat="1" ht="12.75" x14ac:dyDescent="0.2">
      <c r="A118" s="162" t="s">
        <v>379</v>
      </c>
      <c r="B118" s="163" t="s">
        <v>507</v>
      </c>
      <c r="C118" s="293">
        <v>35</v>
      </c>
      <c r="D118" s="294">
        <v>45</v>
      </c>
      <c r="E118" s="294">
        <v>45</v>
      </c>
      <c r="F118" s="294" t="s">
        <v>535</v>
      </c>
      <c r="G118" s="294" t="s">
        <v>535</v>
      </c>
      <c r="H118" s="294" t="s">
        <v>535</v>
      </c>
      <c r="I118" s="294" t="s">
        <v>535</v>
      </c>
      <c r="J118" s="294" t="s">
        <v>535</v>
      </c>
      <c r="K118" s="294" t="s">
        <v>535</v>
      </c>
      <c r="L118" s="294" t="s">
        <v>535</v>
      </c>
      <c r="M118" s="294" t="s">
        <v>535</v>
      </c>
      <c r="N118" s="294" t="s">
        <v>535</v>
      </c>
      <c r="O118" s="278">
        <v>125</v>
      </c>
      <c r="P118" s="47"/>
      <c r="Q118" s="47"/>
      <c r="R118" s="47"/>
      <c r="S118" s="47"/>
      <c r="T118" s="47"/>
      <c r="U118" s="47"/>
      <c r="V118" s="47"/>
      <c r="W118" s="47"/>
      <c r="X118" s="47"/>
      <c r="Y118" s="47"/>
      <c r="Z118" s="47"/>
      <c r="AA118" s="47"/>
      <c r="AB118" s="47"/>
      <c r="AE118" s="308"/>
    </row>
    <row r="119" spans="1:31" s="46" customFormat="1" ht="12.75" x14ac:dyDescent="0.2">
      <c r="A119" s="164" t="s">
        <v>380</v>
      </c>
      <c r="B119" s="163" t="s">
        <v>508</v>
      </c>
      <c r="C119" s="293">
        <v>230</v>
      </c>
      <c r="D119" s="294">
        <v>250</v>
      </c>
      <c r="E119" s="294">
        <v>240</v>
      </c>
      <c r="F119" s="294">
        <v>225</v>
      </c>
      <c r="G119" s="294">
        <v>235</v>
      </c>
      <c r="H119" s="294">
        <v>215</v>
      </c>
      <c r="I119" s="294">
        <v>220</v>
      </c>
      <c r="J119" s="294">
        <v>255</v>
      </c>
      <c r="K119" s="294">
        <v>245</v>
      </c>
      <c r="L119" s="294">
        <v>245</v>
      </c>
      <c r="M119" s="294">
        <v>215</v>
      </c>
      <c r="N119" s="294">
        <v>195</v>
      </c>
      <c r="O119" s="278">
        <v>2770</v>
      </c>
      <c r="P119" s="47"/>
      <c r="Q119" s="47"/>
      <c r="R119" s="47"/>
      <c r="S119" s="47"/>
      <c r="T119" s="47"/>
      <c r="U119" s="47"/>
      <c r="V119" s="47"/>
      <c r="W119" s="47"/>
      <c r="X119" s="47"/>
      <c r="Y119" s="47"/>
      <c r="Z119" s="47"/>
      <c r="AA119" s="47"/>
      <c r="AB119" s="47"/>
      <c r="AE119" s="308"/>
    </row>
    <row r="120" spans="1:31" s="46" customFormat="1" ht="12.75" x14ac:dyDescent="0.2">
      <c r="A120" s="162" t="s">
        <v>381</v>
      </c>
      <c r="B120" s="163" t="s">
        <v>509</v>
      </c>
      <c r="C120" s="293">
        <v>80</v>
      </c>
      <c r="D120" s="294">
        <v>85</v>
      </c>
      <c r="E120" s="294">
        <v>80</v>
      </c>
      <c r="F120" s="294">
        <v>85</v>
      </c>
      <c r="G120" s="294">
        <v>95</v>
      </c>
      <c r="H120" s="294">
        <v>75</v>
      </c>
      <c r="I120" s="294">
        <v>80</v>
      </c>
      <c r="J120" s="294">
        <v>75</v>
      </c>
      <c r="K120" s="294">
        <v>80</v>
      </c>
      <c r="L120" s="294">
        <v>85</v>
      </c>
      <c r="M120" s="294">
        <v>70</v>
      </c>
      <c r="N120" s="294">
        <v>80</v>
      </c>
      <c r="O120" s="278">
        <v>965</v>
      </c>
      <c r="P120" s="47"/>
      <c r="Q120" s="47"/>
      <c r="R120" s="47"/>
      <c r="S120" s="47"/>
      <c r="T120" s="47"/>
      <c r="U120" s="47"/>
      <c r="V120" s="47"/>
      <c r="W120" s="47"/>
      <c r="X120" s="47"/>
      <c r="Y120" s="47"/>
      <c r="Z120" s="47"/>
      <c r="AA120" s="47"/>
      <c r="AB120" s="47"/>
      <c r="AE120" s="308"/>
    </row>
    <row r="121" spans="1:31" s="46" customFormat="1" ht="12.75" x14ac:dyDescent="0.2">
      <c r="A121" s="162" t="s">
        <v>382</v>
      </c>
      <c r="B121" s="163" t="s">
        <v>510</v>
      </c>
      <c r="C121" s="293">
        <v>735</v>
      </c>
      <c r="D121" s="294">
        <v>790</v>
      </c>
      <c r="E121" s="294">
        <v>820</v>
      </c>
      <c r="F121" s="294">
        <v>760</v>
      </c>
      <c r="G121" s="294">
        <v>780</v>
      </c>
      <c r="H121" s="294">
        <v>765</v>
      </c>
      <c r="I121" s="294">
        <v>790</v>
      </c>
      <c r="J121" s="294">
        <v>795</v>
      </c>
      <c r="K121" s="294">
        <v>735</v>
      </c>
      <c r="L121" s="294">
        <v>755</v>
      </c>
      <c r="M121" s="294">
        <v>765</v>
      </c>
      <c r="N121" s="294">
        <v>685</v>
      </c>
      <c r="O121" s="278">
        <v>9175</v>
      </c>
      <c r="P121" s="47"/>
      <c r="Q121" s="47"/>
      <c r="R121" s="47"/>
      <c r="S121" s="47"/>
      <c r="T121" s="47"/>
      <c r="U121" s="47"/>
      <c r="V121" s="47"/>
      <c r="W121" s="47"/>
      <c r="X121" s="47"/>
      <c r="Y121" s="47"/>
      <c r="Z121" s="47"/>
      <c r="AA121" s="47"/>
      <c r="AB121" s="47"/>
      <c r="AE121" s="308"/>
    </row>
    <row r="122" spans="1:31" s="46" customFormat="1" ht="12.75" x14ac:dyDescent="0.2">
      <c r="A122" s="162" t="s">
        <v>383</v>
      </c>
      <c r="B122" s="163" t="s">
        <v>511</v>
      </c>
      <c r="C122" s="293">
        <v>70</v>
      </c>
      <c r="D122" s="294">
        <v>90</v>
      </c>
      <c r="E122" s="294">
        <v>80</v>
      </c>
      <c r="F122" s="294">
        <v>85</v>
      </c>
      <c r="G122" s="294">
        <v>65</v>
      </c>
      <c r="H122" s="294">
        <v>80</v>
      </c>
      <c r="I122" s="294">
        <v>75</v>
      </c>
      <c r="J122" s="294">
        <v>80</v>
      </c>
      <c r="K122" s="294">
        <v>90</v>
      </c>
      <c r="L122" s="294">
        <v>80</v>
      </c>
      <c r="M122" s="294">
        <v>80</v>
      </c>
      <c r="N122" s="294">
        <v>70</v>
      </c>
      <c r="O122" s="278">
        <v>945</v>
      </c>
      <c r="P122" s="47"/>
      <c r="Q122" s="47"/>
      <c r="R122" s="47"/>
      <c r="S122" s="47"/>
      <c r="T122" s="47"/>
      <c r="U122" s="47"/>
      <c r="V122" s="47"/>
      <c r="W122" s="47"/>
      <c r="X122" s="47"/>
      <c r="Y122" s="47"/>
      <c r="Z122" s="47"/>
      <c r="AA122" s="47"/>
      <c r="AB122" s="47"/>
      <c r="AE122" s="308"/>
    </row>
    <row r="123" spans="1:31" s="46" customFormat="1" ht="12.75" x14ac:dyDescent="0.2">
      <c r="A123" s="162" t="s">
        <v>384</v>
      </c>
      <c r="B123" s="163" t="s">
        <v>512</v>
      </c>
      <c r="C123" s="293">
        <v>90</v>
      </c>
      <c r="D123" s="294">
        <v>110</v>
      </c>
      <c r="E123" s="294">
        <v>80</v>
      </c>
      <c r="F123" s="294">
        <v>70</v>
      </c>
      <c r="G123" s="294">
        <v>75</v>
      </c>
      <c r="H123" s="294">
        <v>95</v>
      </c>
      <c r="I123" s="294">
        <v>80</v>
      </c>
      <c r="J123" s="294">
        <v>110</v>
      </c>
      <c r="K123" s="294">
        <v>115</v>
      </c>
      <c r="L123" s="294">
        <v>105</v>
      </c>
      <c r="M123" s="294">
        <v>90</v>
      </c>
      <c r="N123" s="294">
        <v>95</v>
      </c>
      <c r="O123" s="278">
        <v>1105</v>
      </c>
      <c r="P123" s="47"/>
      <c r="Q123" s="47"/>
      <c r="R123" s="47"/>
      <c r="S123" s="47"/>
      <c r="T123" s="47"/>
      <c r="U123" s="47"/>
      <c r="V123" s="47"/>
      <c r="W123" s="47"/>
      <c r="X123" s="47"/>
      <c r="Y123" s="47"/>
      <c r="Z123" s="47"/>
      <c r="AA123" s="47"/>
      <c r="AB123" s="47"/>
      <c r="AE123" s="308"/>
    </row>
    <row r="124" spans="1:31" s="46" customFormat="1" ht="12.75" x14ac:dyDescent="0.2">
      <c r="A124" s="162" t="s">
        <v>385</v>
      </c>
      <c r="B124" s="163" t="s">
        <v>513</v>
      </c>
      <c r="C124" s="293" t="s">
        <v>535</v>
      </c>
      <c r="D124" s="294">
        <v>10</v>
      </c>
      <c r="E124" s="294">
        <v>40</v>
      </c>
      <c r="F124" s="294" t="s">
        <v>534</v>
      </c>
      <c r="G124" s="294">
        <v>30</v>
      </c>
      <c r="H124" s="294">
        <v>10</v>
      </c>
      <c r="I124" s="294">
        <v>30</v>
      </c>
      <c r="J124" s="294" t="s">
        <v>535</v>
      </c>
      <c r="K124" s="294" t="s">
        <v>535</v>
      </c>
      <c r="L124" s="294" t="s">
        <v>535</v>
      </c>
      <c r="M124" s="294">
        <v>10</v>
      </c>
      <c r="N124" s="294">
        <v>105</v>
      </c>
      <c r="O124" s="278">
        <v>235</v>
      </c>
      <c r="P124" s="47"/>
      <c r="Q124" s="47"/>
      <c r="R124" s="47"/>
      <c r="S124" s="47"/>
      <c r="T124" s="47"/>
      <c r="U124" s="47"/>
      <c r="V124" s="47"/>
      <c r="W124" s="47"/>
      <c r="X124" s="47"/>
      <c r="Y124" s="47"/>
      <c r="Z124" s="47"/>
      <c r="AA124" s="47"/>
      <c r="AB124" s="47"/>
      <c r="AE124" s="308"/>
    </row>
    <row r="125" spans="1:31" s="46" customFormat="1" ht="12.75" x14ac:dyDescent="0.2">
      <c r="A125" s="162" t="s">
        <v>386</v>
      </c>
      <c r="B125" s="163" t="s">
        <v>514</v>
      </c>
      <c r="C125" s="293">
        <v>60</v>
      </c>
      <c r="D125" s="294">
        <v>60</v>
      </c>
      <c r="E125" s="294">
        <v>65</v>
      </c>
      <c r="F125" s="294">
        <v>65</v>
      </c>
      <c r="G125" s="294">
        <v>55</v>
      </c>
      <c r="H125" s="294">
        <v>60</v>
      </c>
      <c r="I125" s="294">
        <v>75</v>
      </c>
      <c r="J125" s="294">
        <v>65</v>
      </c>
      <c r="K125" s="294">
        <v>65</v>
      </c>
      <c r="L125" s="294">
        <v>60</v>
      </c>
      <c r="M125" s="294">
        <v>65</v>
      </c>
      <c r="N125" s="294">
        <v>75</v>
      </c>
      <c r="O125" s="278">
        <v>775</v>
      </c>
      <c r="P125" s="47"/>
      <c r="Q125" s="47"/>
      <c r="R125" s="47"/>
      <c r="S125" s="47"/>
      <c r="T125" s="47"/>
      <c r="U125" s="47"/>
      <c r="V125" s="47"/>
      <c r="W125" s="47"/>
      <c r="X125" s="47"/>
      <c r="Y125" s="47"/>
      <c r="Z125" s="47"/>
      <c r="AA125" s="47"/>
      <c r="AB125" s="47"/>
      <c r="AE125" s="308"/>
    </row>
    <row r="126" spans="1:31" s="46" customFormat="1" ht="12.75" x14ac:dyDescent="0.2">
      <c r="A126" s="162" t="s">
        <v>387</v>
      </c>
      <c r="B126" s="163" t="s">
        <v>515</v>
      </c>
      <c r="C126" s="293">
        <v>50</v>
      </c>
      <c r="D126" s="294">
        <v>60</v>
      </c>
      <c r="E126" s="294">
        <v>50</v>
      </c>
      <c r="F126" s="294">
        <v>60</v>
      </c>
      <c r="G126" s="294">
        <v>70</v>
      </c>
      <c r="H126" s="294">
        <v>50</v>
      </c>
      <c r="I126" s="294">
        <v>70</v>
      </c>
      <c r="J126" s="294">
        <v>70</v>
      </c>
      <c r="K126" s="294">
        <v>65</v>
      </c>
      <c r="L126" s="294">
        <v>70</v>
      </c>
      <c r="M126" s="294">
        <v>75</v>
      </c>
      <c r="N126" s="294">
        <v>60</v>
      </c>
      <c r="O126" s="278">
        <v>750</v>
      </c>
      <c r="P126" s="47"/>
      <c r="Q126" s="47"/>
      <c r="R126" s="47"/>
      <c r="S126" s="47"/>
      <c r="T126" s="47"/>
      <c r="U126" s="47"/>
      <c r="V126" s="47"/>
      <c r="W126" s="47"/>
      <c r="X126" s="47"/>
      <c r="Y126" s="47"/>
      <c r="Z126" s="47"/>
      <c r="AA126" s="47"/>
      <c r="AB126" s="47"/>
      <c r="AE126" s="308"/>
    </row>
    <row r="127" spans="1:31" s="46" customFormat="1" ht="12.75" x14ac:dyDescent="0.2">
      <c r="A127" s="162" t="s">
        <v>388</v>
      </c>
      <c r="B127" s="163" t="s">
        <v>516</v>
      </c>
      <c r="C127" s="293">
        <v>25</v>
      </c>
      <c r="D127" s="294">
        <v>50</v>
      </c>
      <c r="E127" s="294">
        <v>45</v>
      </c>
      <c r="F127" s="294">
        <v>60</v>
      </c>
      <c r="G127" s="294">
        <v>55</v>
      </c>
      <c r="H127" s="294">
        <v>55</v>
      </c>
      <c r="I127" s="294">
        <v>55</v>
      </c>
      <c r="J127" s="294">
        <v>55</v>
      </c>
      <c r="K127" s="294">
        <v>65</v>
      </c>
      <c r="L127" s="294">
        <v>60</v>
      </c>
      <c r="M127" s="294">
        <v>50</v>
      </c>
      <c r="N127" s="294">
        <v>50</v>
      </c>
      <c r="O127" s="278">
        <v>625</v>
      </c>
      <c r="P127" s="47"/>
      <c r="Q127" s="47"/>
      <c r="R127" s="47"/>
      <c r="S127" s="47"/>
      <c r="T127" s="47"/>
      <c r="U127" s="47"/>
      <c r="V127" s="47"/>
      <c r="W127" s="47"/>
      <c r="X127" s="47"/>
      <c r="Y127" s="47"/>
      <c r="Z127" s="47"/>
      <c r="AA127" s="47"/>
      <c r="AB127" s="47"/>
      <c r="AE127" s="308"/>
    </row>
    <row r="128" spans="1:31" s="46" customFormat="1" ht="12.75" x14ac:dyDescent="0.2">
      <c r="A128" s="164" t="s">
        <v>389</v>
      </c>
      <c r="B128" s="163" t="s">
        <v>517</v>
      </c>
      <c r="C128" s="293">
        <v>45</v>
      </c>
      <c r="D128" s="294">
        <v>40</v>
      </c>
      <c r="E128" s="294">
        <v>50</v>
      </c>
      <c r="F128" s="294">
        <v>45</v>
      </c>
      <c r="G128" s="294">
        <v>40</v>
      </c>
      <c r="H128" s="294">
        <v>40</v>
      </c>
      <c r="I128" s="294">
        <v>30</v>
      </c>
      <c r="J128" s="294">
        <v>50</v>
      </c>
      <c r="K128" s="294">
        <v>45</v>
      </c>
      <c r="L128" s="294">
        <v>50</v>
      </c>
      <c r="M128" s="294">
        <v>45</v>
      </c>
      <c r="N128" s="294">
        <v>40</v>
      </c>
      <c r="O128" s="278">
        <v>520</v>
      </c>
      <c r="P128" s="47"/>
      <c r="Q128" s="47"/>
      <c r="R128" s="47"/>
      <c r="S128" s="47"/>
      <c r="T128" s="47"/>
      <c r="U128" s="47"/>
      <c r="V128" s="47"/>
      <c r="W128" s="47"/>
      <c r="X128" s="47"/>
      <c r="Y128" s="47"/>
      <c r="Z128" s="47"/>
      <c r="AA128" s="47"/>
      <c r="AB128" s="47"/>
      <c r="AE128" s="308"/>
    </row>
    <row r="129" spans="1:32" s="46" customFormat="1" ht="12.75" x14ac:dyDescent="0.2">
      <c r="A129" s="162" t="s">
        <v>390</v>
      </c>
      <c r="B129" s="163" t="s">
        <v>518</v>
      </c>
      <c r="C129" s="293">
        <v>620</v>
      </c>
      <c r="D129" s="294">
        <v>665</v>
      </c>
      <c r="E129" s="294">
        <v>630</v>
      </c>
      <c r="F129" s="294">
        <v>600</v>
      </c>
      <c r="G129" s="294">
        <v>610</v>
      </c>
      <c r="H129" s="294">
        <v>630</v>
      </c>
      <c r="I129" s="294">
        <v>610</v>
      </c>
      <c r="J129" s="294">
        <v>605</v>
      </c>
      <c r="K129" s="294">
        <v>595</v>
      </c>
      <c r="L129" s="294">
        <v>595</v>
      </c>
      <c r="M129" s="294">
        <v>640</v>
      </c>
      <c r="N129" s="294">
        <v>540</v>
      </c>
      <c r="O129" s="278">
        <v>7340</v>
      </c>
      <c r="P129" s="47"/>
      <c r="Q129" s="47"/>
      <c r="R129" s="47"/>
      <c r="S129" s="47"/>
      <c r="T129" s="47"/>
      <c r="U129" s="47"/>
      <c r="V129" s="47"/>
      <c r="W129" s="47"/>
      <c r="X129" s="47"/>
      <c r="Y129" s="47"/>
      <c r="Z129" s="47"/>
      <c r="AA129" s="47"/>
      <c r="AB129" s="47"/>
      <c r="AE129" s="308"/>
    </row>
    <row r="130" spans="1:32" s="46" customFormat="1" ht="12.75" x14ac:dyDescent="0.2">
      <c r="A130" s="162" t="s">
        <v>391</v>
      </c>
      <c r="B130" s="163" t="s">
        <v>519</v>
      </c>
      <c r="C130" s="293">
        <v>60</v>
      </c>
      <c r="D130" s="294">
        <v>65</v>
      </c>
      <c r="E130" s="294">
        <v>65</v>
      </c>
      <c r="F130" s="294">
        <v>65</v>
      </c>
      <c r="G130" s="294">
        <v>70</v>
      </c>
      <c r="H130" s="294">
        <v>70</v>
      </c>
      <c r="I130" s="294">
        <v>65</v>
      </c>
      <c r="J130" s="294">
        <v>65</v>
      </c>
      <c r="K130" s="294">
        <v>65</v>
      </c>
      <c r="L130" s="294">
        <v>65</v>
      </c>
      <c r="M130" s="294">
        <v>60</v>
      </c>
      <c r="N130" s="294">
        <v>60</v>
      </c>
      <c r="O130" s="278">
        <v>770</v>
      </c>
      <c r="P130" s="47"/>
      <c r="Q130" s="47"/>
      <c r="R130" s="47"/>
      <c r="S130" s="47"/>
      <c r="T130" s="47"/>
      <c r="U130" s="47"/>
      <c r="V130" s="47"/>
      <c r="W130" s="47"/>
      <c r="X130" s="47"/>
      <c r="Y130" s="47"/>
      <c r="Z130" s="47"/>
      <c r="AA130" s="47"/>
      <c r="AB130" s="47"/>
      <c r="AE130" s="308"/>
    </row>
    <row r="131" spans="1:32" s="46" customFormat="1" ht="12.75" x14ac:dyDescent="0.2">
      <c r="A131" s="162" t="s">
        <v>392</v>
      </c>
      <c r="B131" s="163" t="s">
        <v>520</v>
      </c>
      <c r="C131" s="293">
        <v>45</v>
      </c>
      <c r="D131" s="294">
        <v>45</v>
      </c>
      <c r="E131" s="294">
        <v>50</v>
      </c>
      <c r="F131" s="294">
        <v>45</v>
      </c>
      <c r="G131" s="294">
        <v>65</v>
      </c>
      <c r="H131" s="294">
        <v>55</v>
      </c>
      <c r="I131" s="294">
        <v>55</v>
      </c>
      <c r="J131" s="294">
        <v>50</v>
      </c>
      <c r="K131" s="294">
        <v>60</v>
      </c>
      <c r="L131" s="294">
        <v>65</v>
      </c>
      <c r="M131" s="294">
        <v>55</v>
      </c>
      <c r="N131" s="294">
        <v>45</v>
      </c>
      <c r="O131" s="278">
        <v>635</v>
      </c>
      <c r="P131" s="47"/>
      <c r="Q131" s="47"/>
      <c r="R131" s="47"/>
      <c r="S131" s="47"/>
      <c r="T131" s="47"/>
      <c r="U131" s="47"/>
      <c r="V131" s="47"/>
      <c r="W131" s="47"/>
      <c r="X131" s="47"/>
      <c r="Y131" s="47"/>
      <c r="Z131" s="47"/>
      <c r="AA131" s="47"/>
      <c r="AB131" s="47"/>
      <c r="AE131" s="308"/>
    </row>
    <row r="132" spans="1:32" s="46" customFormat="1" ht="12.75" x14ac:dyDescent="0.2">
      <c r="A132" s="162" t="s">
        <v>393</v>
      </c>
      <c r="B132" s="163" t="s">
        <v>521</v>
      </c>
      <c r="C132" s="293">
        <v>90</v>
      </c>
      <c r="D132" s="294">
        <v>80</v>
      </c>
      <c r="E132" s="294">
        <v>90</v>
      </c>
      <c r="F132" s="294">
        <v>85</v>
      </c>
      <c r="G132" s="294">
        <v>85</v>
      </c>
      <c r="H132" s="294">
        <v>65</v>
      </c>
      <c r="I132" s="294">
        <v>100</v>
      </c>
      <c r="J132" s="294">
        <v>100</v>
      </c>
      <c r="K132" s="294">
        <v>85</v>
      </c>
      <c r="L132" s="294">
        <v>90</v>
      </c>
      <c r="M132" s="294">
        <v>75</v>
      </c>
      <c r="N132" s="294">
        <v>70</v>
      </c>
      <c r="O132" s="278">
        <v>1015</v>
      </c>
      <c r="P132" s="47"/>
      <c r="Q132" s="47"/>
      <c r="R132" s="47"/>
      <c r="S132" s="47"/>
      <c r="T132" s="47"/>
      <c r="U132" s="47"/>
      <c r="V132" s="47"/>
      <c r="W132" s="47"/>
      <c r="X132" s="47"/>
      <c r="Y132" s="47"/>
      <c r="Z132" s="47"/>
      <c r="AA132" s="47"/>
      <c r="AB132" s="47"/>
      <c r="AE132" s="308"/>
    </row>
    <row r="133" spans="1:32" s="46" customFormat="1" ht="12.75" x14ac:dyDescent="0.2">
      <c r="A133" s="162" t="s">
        <v>394</v>
      </c>
      <c r="B133" s="163" t="s">
        <v>522</v>
      </c>
      <c r="C133" s="293">
        <v>160</v>
      </c>
      <c r="D133" s="294">
        <v>195</v>
      </c>
      <c r="E133" s="294">
        <v>205</v>
      </c>
      <c r="F133" s="294">
        <v>200</v>
      </c>
      <c r="G133" s="294">
        <v>170</v>
      </c>
      <c r="H133" s="294">
        <v>170</v>
      </c>
      <c r="I133" s="294">
        <v>195</v>
      </c>
      <c r="J133" s="294">
        <v>185</v>
      </c>
      <c r="K133" s="294">
        <v>175</v>
      </c>
      <c r="L133" s="294">
        <v>195</v>
      </c>
      <c r="M133" s="294">
        <v>180</v>
      </c>
      <c r="N133" s="294">
        <v>165</v>
      </c>
      <c r="O133" s="278">
        <v>2200</v>
      </c>
      <c r="P133" s="47"/>
      <c r="Q133" s="47"/>
      <c r="R133" s="47"/>
      <c r="S133" s="47"/>
      <c r="T133" s="47"/>
      <c r="U133" s="47"/>
      <c r="V133" s="47"/>
      <c r="W133" s="47"/>
      <c r="X133" s="47"/>
      <c r="Y133" s="47"/>
      <c r="Z133" s="47"/>
      <c r="AA133" s="47"/>
      <c r="AB133" s="47"/>
      <c r="AE133" s="308"/>
    </row>
    <row r="134" spans="1:32" s="46" customFormat="1" ht="12.75" x14ac:dyDescent="0.2">
      <c r="A134" s="162" t="s">
        <v>395</v>
      </c>
      <c r="B134" s="163" t="s">
        <v>523</v>
      </c>
      <c r="C134" s="293">
        <v>195</v>
      </c>
      <c r="D134" s="294">
        <v>205</v>
      </c>
      <c r="E134" s="294">
        <v>220</v>
      </c>
      <c r="F134" s="294">
        <v>200</v>
      </c>
      <c r="G134" s="294">
        <v>185</v>
      </c>
      <c r="H134" s="294">
        <v>175</v>
      </c>
      <c r="I134" s="294">
        <v>215</v>
      </c>
      <c r="J134" s="294">
        <v>205</v>
      </c>
      <c r="K134" s="294">
        <v>215</v>
      </c>
      <c r="L134" s="294">
        <v>185</v>
      </c>
      <c r="M134" s="294">
        <v>170</v>
      </c>
      <c r="N134" s="294">
        <v>155</v>
      </c>
      <c r="O134" s="278">
        <v>2320</v>
      </c>
      <c r="P134" s="47"/>
      <c r="Q134" s="47"/>
      <c r="R134" s="47"/>
      <c r="S134" s="47"/>
      <c r="T134" s="47"/>
      <c r="U134" s="47"/>
      <c r="V134" s="47"/>
      <c r="W134" s="47"/>
      <c r="X134" s="47"/>
      <c r="Y134" s="47"/>
      <c r="Z134" s="47"/>
      <c r="AA134" s="47"/>
      <c r="AB134" s="47"/>
      <c r="AE134" s="308"/>
    </row>
    <row r="135" spans="1:32" s="46" customFormat="1" ht="12.75" x14ac:dyDescent="0.2">
      <c r="A135" s="162" t="s">
        <v>396</v>
      </c>
      <c r="B135" s="163" t="s">
        <v>524</v>
      </c>
      <c r="C135" s="293">
        <v>70</v>
      </c>
      <c r="D135" s="294">
        <v>70</v>
      </c>
      <c r="E135" s="294">
        <v>105</v>
      </c>
      <c r="F135" s="294">
        <v>100</v>
      </c>
      <c r="G135" s="294">
        <v>80</v>
      </c>
      <c r="H135" s="294">
        <v>80</v>
      </c>
      <c r="I135" s="294">
        <v>85</v>
      </c>
      <c r="J135" s="294">
        <v>95</v>
      </c>
      <c r="K135" s="294">
        <v>80</v>
      </c>
      <c r="L135" s="294">
        <v>85</v>
      </c>
      <c r="M135" s="294">
        <v>90</v>
      </c>
      <c r="N135" s="294">
        <v>75</v>
      </c>
      <c r="O135" s="278">
        <v>1015</v>
      </c>
      <c r="P135" s="47"/>
      <c r="Q135" s="47"/>
      <c r="R135" s="47"/>
      <c r="S135" s="47"/>
      <c r="T135" s="47"/>
      <c r="U135" s="47"/>
      <c r="V135" s="47"/>
      <c r="W135" s="47"/>
      <c r="X135" s="47"/>
      <c r="Y135" s="47"/>
      <c r="Z135" s="47"/>
      <c r="AA135" s="47"/>
      <c r="AB135" s="47"/>
      <c r="AE135" s="308"/>
    </row>
    <row r="136" spans="1:32" s="46" customFormat="1" ht="12.75" x14ac:dyDescent="0.2">
      <c r="A136" s="162" t="s">
        <v>397</v>
      </c>
      <c r="B136" s="163" t="s">
        <v>525</v>
      </c>
      <c r="C136" s="293">
        <v>70</v>
      </c>
      <c r="D136" s="294">
        <v>75</v>
      </c>
      <c r="E136" s="294">
        <v>65</v>
      </c>
      <c r="F136" s="294">
        <v>60</v>
      </c>
      <c r="G136" s="294">
        <v>60</v>
      </c>
      <c r="H136" s="294">
        <v>85</v>
      </c>
      <c r="I136" s="294">
        <v>80</v>
      </c>
      <c r="J136" s="294">
        <v>75</v>
      </c>
      <c r="K136" s="294">
        <v>75</v>
      </c>
      <c r="L136" s="294">
        <v>75</v>
      </c>
      <c r="M136" s="294">
        <v>80</v>
      </c>
      <c r="N136" s="294">
        <v>55</v>
      </c>
      <c r="O136" s="278">
        <v>855</v>
      </c>
      <c r="P136" s="47"/>
      <c r="Q136" s="47"/>
      <c r="R136" s="47"/>
      <c r="S136" s="47"/>
      <c r="T136" s="47"/>
      <c r="U136" s="47"/>
      <c r="V136" s="47"/>
      <c r="W136" s="47"/>
      <c r="X136" s="47"/>
      <c r="Y136" s="47"/>
      <c r="Z136" s="47"/>
      <c r="AA136" s="47"/>
      <c r="AB136" s="47"/>
      <c r="AE136" s="308"/>
    </row>
    <row r="137" spans="1:32" s="46" customFormat="1" ht="12.75" x14ac:dyDescent="0.2">
      <c r="A137" s="162" t="s">
        <v>398</v>
      </c>
      <c r="B137" s="163" t="s">
        <v>526</v>
      </c>
      <c r="C137" s="293">
        <v>115</v>
      </c>
      <c r="D137" s="294">
        <v>15</v>
      </c>
      <c r="E137" s="294" t="s">
        <v>535</v>
      </c>
      <c r="F137" s="294" t="s">
        <v>535</v>
      </c>
      <c r="G137" s="294" t="s">
        <v>535</v>
      </c>
      <c r="H137" s="294" t="s">
        <v>535</v>
      </c>
      <c r="I137" s="294" t="s">
        <v>535</v>
      </c>
      <c r="J137" s="294" t="s">
        <v>535</v>
      </c>
      <c r="K137" s="294" t="s">
        <v>535</v>
      </c>
      <c r="L137" s="294" t="s">
        <v>535</v>
      </c>
      <c r="M137" s="294" t="s">
        <v>535</v>
      </c>
      <c r="N137" s="294" t="s">
        <v>535</v>
      </c>
      <c r="O137" s="278">
        <v>130</v>
      </c>
      <c r="P137" s="47"/>
      <c r="Q137" s="47"/>
      <c r="R137" s="47"/>
      <c r="S137" s="47"/>
      <c r="T137" s="47"/>
      <c r="U137" s="47"/>
      <c r="V137" s="47"/>
      <c r="W137" s="47"/>
      <c r="X137" s="47"/>
      <c r="Y137" s="47"/>
      <c r="Z137" s="47"/>
      <c r="AA137" s="47"/>
      <c r="AB137" s="47"/>
      <c r="AE137" s="308"/>
    </row>
    <row r="138" spans="1:32" s="46" customFormat="1" ht="12.75" x14ac:dyDescent="0.2">
      <c r="A138" s="162" t="s">
        <v>399</v>
      </c>
      <c r="B138" s="163" t="s">
        <v>527</v>
      </c>
      <c r="C138" s="293">
        <v>65</v>
      </c>
      <c r="D138" s="294">
        <v>80</v>
      </c>
      <c r="E138" s="294">
        <v>80</v>
      </c>
      <c r="F138" s="294">
        <v>65</v>
      </c>
      <c r="G138" s="294">
        <v>65</v>
      </c>
      <c r="H138" s="294">
        <v>65</v>
      </c>
      <c r="I138" s="294">
        <v>75</v>
      </c>
      <c r="J138" s="294">
        <v>75</v>
      </c>
      <c r="K138" s="294">
        <v>85</v>
      </c>
      <c r="L138" s="294">
        <v>80</v>
      </c>
      <c r="M138" s="294">
        <v>70</v>
      </c>
      <c r="N138" s="294">
        <v>65</v>
      </c>
      <c r="O138" s="278">
        <v>865</v>
      </c>
      <c r="P138" s="47"/>
      <c r="Q138" s="47"/>
      <c r="R138" s="47"/>
      <c r="S138" s="47"/>
      <c r="T138" s="47"/>
      <c r="U138" s="47"/>
      <c r="V138" s="47"/>
      <c r="W138" s="47"/>
      <c r="X138" s="47"/>
      <c r="Y138" s="47"/>
      <c r="Z138" s="47"/>
      <c r="AA138" s="47"/>
      <c r="AB138" s="47"/>
      <c r="AE138" s="308"/>
    </row>
    <row r="139" spans="1:32" s="46" customFormat="1" ht="12.75" x14ac:dyDescent="0.2">
      <c r="A139" s="162" t="s">
        <v>400</v>
      </c>
      <c r="B139" s="163" t="s">
        <v>528</v>
      </c>
      <c r="C139" s="293">
        <v>265</v>
      </c>
      <c r="D139" s="294">
        <v>280</v>
      </c>
      <c r="E139" s="294">
        <v>300</v>
      </c>
      <c r="F139" s="294">
        <v>270</v>
      </c>
      <c r="G139" s="294">
        <v>350</v>
      </c>
      <c r="H139" s="294">
        <v>285</v>
      </c>
      <c r="I139" s="294">
        <v>320</v>
      </c>
      <c r="J139" s="294">
        <v>310</v>
      </c>
      <c r="K139" s="294">
        <v>330</v>
      </c>
      <c r="L139" s="294">
        <v>305</v>
      </c>
      <c r="M139" s="294">
        <v>295</v>
      </c>
      <c r="N139" s="294">
        <v>230</v>
      </c>
      <c r="O139" s="278">
        <v>3530</v>
      </c>
      <c r="P139" s="47"/>
      <c r="Q139" s="47"/>
      <c r="R139" s="47"/>
      <c r="S139" s="47"/>
      <c r="T139" s="47"/>
      <c r="U139" s="47"/>
      <c r="V139" s="47"/>
      <c r="W139" s="47"/>
      <c r="X139" s="47"/>
      <c r="Y139" s="47"/>
      <c r="Z139" s="47"/>
      <c r="AA139" s="47"/>
      <c r="AB139" s="47"/>
      <c r="AE139" s="308"/>
    </row>
    <row r="140" spans="1:32" s="49" customFormat="1" ht="12.75" x14ac:dyDescent="0.2">
      <c r="A140" s="162" t="s">
        <v>401</v>
      </c>
      <c r="B140" s="163" t="s">
        <v>529</v>
      </c>
      <c r="C140" s="293">
        <v>305</v>
      </c>
      <c r="D140" s="294">
        <v>325</v>
      </c>
      <c r="E140" s="294">
        <v>320</v>
      </c>
      <c r="F140" s="294">
        <v>300</v>
      </c>
      <c r="G140" s="294">
        <v>385</v>
      </c>
      <c r="H140" s="294">
        <v>325</v>
      </c>
      <c r="I140" s="294">
        <v>355</v>
      </c>
      <c r="J140" s="294">
        <v>325</v>
      </c>
      <c r="K140" s="294">
        <v>340</v>
      </c>
      <c r="L140" s="294">
        <v>390</v>
      </c>
      <c r="M140" s="294">
        <v>315</v>
      </c>
      <c r="N140" s="294">
        <v>300</v>
      </c>
      <c r="O140" s="278">
        <v>3985</v>
      </c>
      <c r="P140" s="47"/>
      <c r="Q140" s="47"/>
      <c r="R140" s="47"/>
      <c r="S140" s="47"/>
      <c r="T140" s="47"/>
      <c r="U140" s="47"/>
      <c r="V140" s="47"/>
      <c r="W140" s="47"/>
      <c r="X140" s="47"/>
      <c r="Y140" s="47"/>
      <c r="Z140" s="47"/>
      <c r="AA140" s="47"/>
      <c r="AB140" s="47"/>
      <c r="AE140" s="308"/>
      <c r="AF140" s="46"/>
    </row>
    <row r="141" spans="1:32" s="50" customFormat="1" ht="12.75" x14ac:dyDescent="0.2">
      <c r="A141" s="330" t="s">
        <v>1</v>
      </c>
      <c r="B141" s="331"/>
      <c r="C141" s="332">
        <v>19311</v>
      </c>
      <c r="D141" s="333">
        <v>20908</v>
      </c>
      <c r="E141" s="333">
        <v>21156</v>
      </c>
      <c r="F141" s="333">
        <v>20427</v>
      </c>
      <c r="G141" s="333">
        <v>20380</v>
      </c>
      <c r="H141" s="333">
        <v>19549</v>
      </c>
      <c r="I141" s="333">
        <v>19596</v>
      </c>
      <c r="J141" s="333">
        <v>20114</v>
      </c>
      <c r="K141" s="333">
        <v>19194</v>
      </c>
      <c r="L141" s="333">
        <v>19721</v>
      </c>
      <c r="M141" s="333">
        <v>18944</v>
      </c>
      <c r="N141" s="333">
        <v>16871</v>
      </c>
      <c r="O141" s="279">
        <v>236171</v>
      </c>
      <c r="P141" s="47"/>
      <c r="Q141" s="47"/>
      <c r="R141" s="47"/>
      <c r="S141" s="47"/>
      <c r="T141" s="47"/>
      <c r="U141" s="47"/>
      <c r="V141" s="47"/>
      <c r="W141" s="47"/>
      <c r="X141" s="47"/>
      <c r="Y141" s="47"/>
      <c r="Z141" s="47"/>
      <c r="AA141" s="47"/>
      <c r="AB141" s="47"/>
      <c r="AE141" s="308"/>
      <c r="AF141" s="46"/>
    </row>
    <row r="142" spans="1:32" s="50" customFormat="1" ht="12.75" x14ac:dyDescent="0.2">
      <c r="A142" s="13"/>
      <c r="B142" s="13"/>
      <c r="C142" s="158"/>
      <c r="D142" s="158"/>
      <c r="E142" s="158"/>
      <c r="F142" s="158"/>
      <c r="G142" s="158"/>
      <c r="H142" s="158"/>
      <c r="I142" s="158"/>
      <c r="J142" s="158"/>
      <c r="K142" s="158"/>
      <c r="L142" s="158"/>
      <c r="M142" s="158"/>
      <c r="N142" s="158"/>
      <c r="O142" s="158"/>
      <c r="P142" s="47"/>
      <c r="Q142" s="47"/>
      <c r="R142" s="47"/>
      <c r="S142" s="47"/>
      <c r="T142" s="47"/>
      <c r="U142" s="47"/>
      <c r="V142" s="47"/>
      <c r="W142" s="47"/>
      <c r="X142" s="47"/>
      <c r="Y142" s="47"/>
      <c r="Z142" s="47"/>
      <c r="AA142" s="47"/>
      <c r="AB142" s="47"/>
      <c r="AE142" s="308"/>
      <c r="AF142" s="46"/>
    </row>
    <row r="143" spans="1:32" s="50" customFormat="1" ht="12.75" x14ac:dyDescent="0.2">
      <c r="A143" s="13"/>
      <c r="B143" s="13"/>
      <c r="C143" s="158"/>
      <c r="D143" s="158"/>
      <c r="E143" s="158"/>
      <c r="F143" s="158"/>
      <c r="G143" s="158"/>
      <c r="H143" s="158"/>
      <c r="I143" s="158"/>
      <c r="J143" s="158"/>
      <c r="K143" s="158"/>
      <c r="L143" s="158"/>
      <c r="M143" s="158"/>
      <c r="N143" s="158"/>
      <c r="O143" s="158"/>
      <c r="P143" s="47"/>
      <c r="Q143" s="47"/>
      <c r="R143" s="47"/>
      <c r="S143" s="47"/>
      <c r="T143" s="47"/>
      <c r="U143" s="47"/>
      <c r="V143" s="47"/>
      <c r="W143" s="47"/>
      <c r="X143" s="47"/>
      <c r="Y143" s="47"/>
      <c r="Z143" s="47"/>
      <c r="AA143" s="47"/>
      <c r="AB143" s="47"/>
      <c r="AE143" s="308"/>
      <c r="AF143" s="46"/>
    </row>
    <row r="144" spans="1:32" s="50" customFormat="1" ht="12.75" x14ac:dyDescent="0.2">
      <c r="A144" s="7"/>
      <c r="B144" s="24"/>
      <c r="C144" s="120"/>
      <c r="D144" s="120"/>
      <c r="E144" s="120"/>
      <c r="F144" s="120"/>
      <c r="G144" s="120"/>
      <c r="H144" s="120"/>
      <c r="I144" s="120"/>
      <c r="J144" s="120"/>
      <c r="K144" s="120"/>
      <c r="L144" s="120"/>
      <c r="M144" s="120"/>
      <c r="N144" s="120"/>
      <c r="O144" s="120"/>
      <c r="P144" s="47"/>
      <c r="Q144" s="47"/>
      <c r="R144" s="47"/>
      <c r="S144" s="47"/>
      <c r="T144" s="47"/>
      <c r="U144" s="47"/>
      <c r="V144" s="47"/>
      <c r="W144" s="47"/>
      <c r="X144" s="47"/>
      <c r="Y144" s="47"/>
      <c r="Z144" s="47"/>
      <c r="AA144" s="47"/>
      <c r="AB144" s="47"/>
      <c r="AE144" s="308"/>
      <c r="AF144" s="46"/>
    </row>
    <row r="145" spans="1:32" s="50" customFormat="1" ht="12.75" x14ac:dyDescent="0.2">
      <c r="A145" s="328" t="s">
        <v>539</v>
      </c>
      <c r="B145" s="117"/>
      <c r="C145" s="121"/>
      <c r="D145" s="121"/>
      <c r="E145" s="121"/>
      <c r="F145" s="121"/>
      <c r="G145" s="125"/>
      <c r="H145" s="125"/>
      <c r="I145" s="125"/>
      <c r="J145" s="125"/>
      <c r="K145" s="125"/>
      <c r="L145" s="125"/>
      <c r="M145" s="125"/>
      <c r="N145" s="125"/>
      <c r="O145" s="125"/>
      <c r="P145" s="47"/>
      <c r="Q145" s="47"/>
      <c r="R145" s="47"/>
      <c r="S145" s="47"/>
      <c r="T145" s="47"/>
      <c r="U145" s="47"/>
      <c r="V145" s="47"/>
      <c r="W145" s="47"/>
      <c r="X145" s="47"/>
      <c r="Y145" s="47"/>
      <c r="Z145" s="47"/>
      <c r="AA145" s="47"/>
      <c r="AB145" s="47"/>
      <c r="AE145" s="308"/>
      <c r="AF145" s="46"/>
    </row>
    <row r="146" spans="1:32" s="50" customFormat="1" ht="12.75" x14ac:dyDescent="0.2">
      <c r="A146" s="116"/>
      <c r="B146" s="117"/>
      <c r="C146" s="121"/>
      <c r="D146" s="121"/>
      <c r="E146" s="121"/>
      <c r="F146" s="121"/>
      <c r="G146" s="125"/>
      <c r="H146" s="125"/>
      <c r="I146" s="125"/>
      <c r="J146" s="125"/>
      <c r="K146" s="125"/>
      <c r="L146" s="125"/>
      <c r="M146" s="125"/>
      <c r="N146" s="125"/>
      <c r="O146" s="125"/>
      <c r="P146" s="47"/>
      <c r="AE146" s="308"/>
      <c r="AF146" s="46"/>
    </row>
    <row r="147" spans="1:32" s="50" customFormat="1" ht="12.75" x14ac:dyDescent="0.2">
      <c r="A147" s="116"/>
      <c r="B147" s="117"/>
      <c r="C147" s="121"/>
      <c r="D147" s="121"/>
      <c r="E147" s="121"/>
      <c r="F147" s="121"/>
      <c r="G147" s="125"/>
      <c r="H147" s="125"/>
      <c r="I147" s="125"/>
      <c r="J147" s="125"/>
      <c r="K147" s="125"/>
      <c r="L147" s="125"/>
      <c r="M147" s="125"/>
      <c r="N147" s="125"/>
      <c r="O147" s="125"/>
      <c r="P147" s="47"/>
      <c r="AE147" s="308"/>
      <c r="AF147" s="46"/>
    </row>
    <row r="148" spans="1:32" s="50" customFormat="1" ht="12.75" x14ac:dyDescent="0.2">
      <c r="A148" s="24" t="s">
        <v>202</v>
      </c>
      <c r="B148" s="7"/>
      <c r="C148" s="118"/>
      <c r="D148" s="118"/>
      <c r="E148" s="118"/>
      <c r="F148" s="118"/>
      <c r="G148" s="118"/>
      <c r="H148" s="118"/>
      <c r="I148" s="118"/>
      <c r="J148" s="118"/>
      <c r="K148" s="118"/>
      <c r="L148" s="118"/>
      <c r="M148" s="118"/>
      <c r="N148" s="118"/>
      <c r="O148" s="118"/>
      <c r="P148" s="47"/>
      <c r="AE148" s="308"/>
      <c r="AF148" s="46"/>
    </row>
    <row r="149" spans="1:32" s="71" customFormat="1" ht="12.75" x14ac:dyDescent="0.2">
      <c r="A149" s="7" t="s">
        <v>0</v>
      </c>
      <c r="B149" s="7"/>
      <c r="C149" s="118"/>
      <c r="D149" s="118"/>
      <c r="E149" s="118"/>
      <c r="F149" s="118"/>
      <c r="G149" s="118"/>
      <c r="H149" s="118"/>
      <c r="I149" s="118"/>
      <c r="J149" s="118"/>
      <c r="K149" s="118"/>
      <c r="L149" s="118"/>
      <c r="M149" s="118"/>
      <c r="N149" s="118"/>
      <c r="O149" s="118"/>
      <c r="AE149" s="308"/>
      <c r="AF149" s="46"/>
    </row>
    <row r="150" spans="1:32" s="71" customFormat="1" ht="12.75" x14ac:dyDescent="0.2">
      <c r="A150" s="366" t="s">
        <v>264</v>
      </c>
      <c r="B150" s="366"/>
      <c r="C150" s="366"/>
      <c r="D150" s="366"/>
      <c r="E150" s="366"/>
      <c r="F150" s="366"/>
      <c r="G150" s="366"/>
      <c r="H150" s="366"/>
      <c r="I150" s="366"/>
      <c r="J150" s="366"/>
      <c r="K150" s="366"/>
      <c r="L150" s="366"/>
      <c r="M150" s="366"/>
      <c r="N150" s="366"/>
      <c r="O150" s="366"/>
      <c r="AE150" s="308"/>
      <c r="AF150" s="46"/>
    </row>
    <row r="151" spans="1:32" s="71" customFormat="1" ht="12.75" x14ac:dyDescent="0.2">
      <c r="A151" s="366" t="s">
        <v>545</v>
      </c>
      <c r="B151" s="366"/>
      <c r="C151" s="366"/>
      <c r="D151" s="366"/>
      <c r="E151" s="366"/>
      <c r="F151" s="366"/>
      <c r="G151" s="366"/>
      <c r="H151" s="366"/>
      <c r="I151" s="366"/>
      <c r="J151" s="366"/>
      <c r="K151" s="366"/>
      <c r="L151" s="366"/>
      <c r="M151" s="366"/>
      <c r="N151" s="366"/>
      <c r="O151" s="366"/>
      <c r="AE151" s="308"/>
      <c r="AF151" s="46"/>
    </row>
    <row r="152" spans="1:32" s="1" customFormat="1" ht="12.75" x14ac:dyDescent="0.2">
      <c r="A152" s="367" t="s">
        <v>206</v>
      </c>
      <c r="B152" s="367"/>
      <c r="C152" s="367"/>
      <c r="D152" s="367"/>
      <c r="E152" s="367"/>
      <c r="F152" s="367"/>
      <c r="G152" s="367"/>
      <c r="H152" s="367"/>
      <c r="I152" s="367"/>
      <c r="J152" s="367"/>
      <c r="K152" s="367"/>
      <c r="L152" s="367"/>
      <c r="M152" s="367"/>
      <c r="N152" s="367"/>
      <c r="O152" s="367"/>
      <c r="AE152" s="308"/>
      <c r="AF152" s="46"/>
    </row>
    <row r="153" spans="1:32" s="1" customFormat="1" ht="12.75" x14ac:dyDescent="0.2">
      <c r="A153" s="368" t="s">
        <v>238</v>
      </c>
      <c r="B153" s="368"/>
      <c r="C153" s="368"/>
      <c r="D153" s="368"/>
      <c r="E153" s="368"/>
      <c r="F153" s="368"/>
      <c r="G153" s="368"/>
      <c r="H153" s="368"/>
      <c r="I153" s="368"/>
      <c r="J153" s="368"/>
      <c r="K153" s="368"/>
      <c r="L153" s="368"/>
      <c r="M153" s="368"/>
      <c r="N153" s="368"/>
      <c r="O153" s="368"/>
      <c r="AE153" s="308"/>
      <c r="AF153" s="46"/>
    </row>
    <row r="154" spans="1:32" s="1" customFormat="1" ht="29.25" customHeight="1" x14ac:dyDescent="0.2">
      <c r="A154" s="7"/>
      <c r="B154" s="44"/>
      <c r="C154" s="131"/>
      <c r="D154" s="131"/>
      <c r="E154" s="131"/>
      <c r="F154" s="131"/>
      <c r="G154" s="131"/>
      <c r="H154" s="131"/>
      <c r="I154" s="131"/>
      <c r="J154" s="131"/>
      <c r="K154" s="131"/>
      <c r="L154" s="131"/>
      <c r="M154" s="131"/>
      <c r="N154" s="131"/>
      <c r="O154" s="120"/>
      <c r="AE154" s="308"/>
      <c r="AF154" s="46"/>
    </row>
    <row r="155" spans="1:32" s="1" customFormat="1" ht="16.5" customHeight="1" x14ac:dyDescent="0.2">
      <c r="A155" s="48"/>
      <c r="B155" s="46"/>
      <c r="C155" s="119"/>
      <c r="D155" s="119"/>
      <c r="E155" s="119"/>
      <c r="F155" s="119"/>
      <c r="G155" s="119"/>
      <c r="H155" s="119"/>
      <c r="I155" s="119"/>
      <c r="J155" s="119"/>
      <c r="K155" s="119"/>
      <c r="L155" s="119"/>
      <c r="M155" s="119"/>
      <c r="N155" s="119"/>
      <c r="O155" s="124"/>
      <c r="AE155" s="308"/>
      <c r="AF155" s="46"/>
    </row>
    <row r="156" spans="1:32" s="1" customFormat="1" ht="12.75" x14ac:dyDescent="0.2">
      <c r="A156" s="48"/>
      <c r="B156" s="46"/>
      <c r="C156" s="119"/>
      <c r="D156" s="119"/>
      <c r="E156" s="119"/>
      <c r="F156" s="119"/>
      <c r="G156" s="119"/>
      <c r="H156" s="119"/>
      <c r="I156" s="119"/>
      <c r="J156" s="119"/>
      <c r="K156" s="119"/>
      <c r="L156" s="119"/>
      <c r="M156" s="119"/>
      <c r="N156" s="119"/>
      <c r="O156" s="124"/>
      <c r="AE156" s="308"/>
      <c r="AF156" s="46"/>
    </row>
    <row r="157" spans="1:32" s="50" customFormat="1" ht="106.5" customHeight="1" x14ac:dyDescent="0.2">
      <c r="A157" s="48"/>
      <c r="B157" s="46"/>
      <c r="C157" s="119"/>
      <c r="D157" s="119"/>
      <c r="E157" s="119"/>
      <c r="F157" s="119"/>
      <c r="G157" s="119"/>
      <c r="H157" s="119"/>
      <c r="I157" s="119"/>
      <c r="J157" s="119"/>
      <c r="K157" s="119"/>
      <c r="L157" s="119"/>
      <c r="M157" s="119"/>
      <c r="N157" s="119"/>
      <c r="O157" s="124"/>
      <c r="P157" s="47"/>
      <c r="AE157" s="308"/>
      <c r="AF157" s="46"/>
    </row>
    <row r="158" spans="1:32" x14ac:dyDescent="0.2">
      <c r="AE158" s="308"/>
      <c r="AF158" s="46"/>
    </row>
    <row r="159" spans="1:32" x14ac:dyDescent="0.2">
      <c r="AE159" s="308"/>
      <c r="AF159" s="46"/>
    </row>
    <row r="160" spans="1:32" x14ac:dyDescent="0.2">
      <c r="AE160" s="308"/>
      <c r="AF160" s="46"/>
    </row>
    <row r="161" spans="1:32" x14ac:dyDescent="0.2">
      <c r="AE161" s="308"/>
      <c r="AF161" s="46"/>
    </row>
    <row r="162" spans="1:32" s="7" customFormat="1" ht="12.75" x14ac:dyDescent="0.2">
      <c r="A162" s="48"/>
      <c r="B162" s="46"/>
      <c r="C162" s="119"/>
      <c r="D162" s="119"/>
      <c r="E162" s="119"/>
      <c r="F162" s="119"/>
      <c r="G162" s="119"/>
      <c r="H162" s="119"/>
      <c r="I162" s="119"/>
      <c r="J162" s="119"/>
      <c r="K162" s="119"/>
      <c r="L162" s="119"/>
      <c r="M162" s="119"/>
      <c r="N162" s="119"/>
      <c r="O162" s="124"/>
      <c r="AE162" s="308"/>
      <c r="AF162" s="46"/>
    </row>
    <row r="163" spans="1:32" s="7" customFormat="1" ht="12.75" x14ac:dyDescent="0.2">
      <c r="A163" s="48"/>
      <c r="B163" s="46"/>
      <c r="C163" s="119"/>
      <c r="D163" s="119"/>
      <c r="E163" s="119"/>
      <c r="F163" s="119"/>
      <c r="G163" s="119"/>
      <c r="H163" s="119"/>
      <c r="I163" s="119"/>
      <c r="J163" s="119"/>
      <c r="K163" s="119"/>
      <c r="L163" s="119"/>
      <c r="M163" s="119"/>
      <c r="N163" s="119"/>
      <c r="O163" s="124"/>
      <c r="AE163" s="308"/>
      <c r="AF163" s="46"/>
    </row>
    <row r="164" spans="1:32" s="7" customFormat="1" ht="12.75" x14ac:dyDescent="0.2">
      <c r="A164" s="48"/>
      <c r="B164" s="46"/>
      <c r="C164" s="119"/>
      <c r="D164" s="119"/>
      <c r="E164" s="119"/>
      <c r="F164" s="119"/>
      <c r="G164" s="119"/>
      <c r="H164" s="119"/>
      <c r="I164" s="119"/>
      <c r="J164" s="119"/>
      <c r="K164" s="119"/>
      <c r="L164" s="119"/>
      <c r="M164" s="119"/>
      <c r="N164" s="119"/>
      <c r="O164" s="124"/>
      <c r="AE164" s="308"/>
      <c r="AF164" s="46"/>
    </row>
    <row r="165" spans="1:32" s="7" customFormat="1" ht="12.75" x14ac:dyDescent="0.2">
      <c r="A165" s="48"/>
      <c r="B165" s="46"/>
      <c r="C165" s="119"/>
      <c r="D165" s="119"/>
      <c r="E165" s="119"/>
      <c r="F165" s="119"/>
      <c r="G165" s="119"/>
      <c r="H165" s="119"/>
      <c r="I165" s="119"/>
      <c r="J165" s="119"/>
      <c r="K165" s="119"/>
      <c r="L165" s="119"/>
      <c r="M165" s="119"/>
      <c r="N165" s="119"/>
      <c r="O165" s="124"/>
      <c r="AE165" s="308"/>
      <c r="AF165" s="46"/>
    </row>
    <row r="166" spans="1:32" x14ac:dyDescent="0.2">
      <c r="AE166" s="308"/>
      <c r="AF166" s="46"/>
    </row>
    <row r="167" spans="1:32" x14ac:dyDescent="0.2">
      <c r="AE167" s="308"/>
      <c r="AF167" s="46"/>
    </row>
    <row r="168" spans="1:32" x14ac:dyDescent="0.2">
      <c r="AE168" s="308"/>
      <c r="AF168" s="46"/>
    </row>
    <row r="169" spans="1:32" x14ac:dyDescent="0.2">
      <c r="AE169" s="308"/>
      <c r="AF169" s="46"/>
    </row>
    <row r="170" spans="1:32" x14ac:dyDescent="0.2">
      <c r="AE170" s="308"/>
      <c r="AF170" s="46"/>
    </row>
    <row r="171" spans="1:32" x14ac:dyDescent="0.2">
      <c r="AE171" s="308"/>
      <c r="AF171" s="46"/>
    </row>
    <row r="172" spans="1:32" x14ac:dyDescent="0.2">
      <c r="AE172" s="308"/>
      <c r="AF172" s="46"/>
    </row>
    <row r="173" spans="1:32" x14ac:dyDescent="0.2">
      <c r="AE173" s="308"/>
      <c r="AF173" s="46"/>
    </row>
    <row r="174" spans="1:32" x14ac:dyDescent="0.2">
      <c r="AE174" s="308"/>
      <c r="AF174" s="46"/>
    </row>
    <row r="175" spans="1:32" x14ac:dyDescent="0.2">
      <c r="AE175" s="308"/>
      <c r="AF175" s="46"/>
    </row>
    <row r="176" spans="1:32" x14ac:dyDescent="0.2">
      <c r="AE176" s="308"/>
      <c r="AF176" s="46"/>
    </row>
    <row r="177" spans="31:32" x14ac:dyDescent="0.2">
      <c r="AE177" s="308"/>
      <c r="AF177" s="46"/>
    </row>
    <row r="178" spans="31:32" x14ac:dyDescent="0.2">
      <c r="AE178" s="308"/>
      <c r="AF178" s="46"/>
    </row>
    <row r="179" spans="31:32" x14ac:dyDescent="0.2">
      <c r="AE179" s="308"/>
      <c r="AF179" s="46"/>
    </row>
    <row r="180" spans="31:32" x14ac:dyDescent="0.2">
      <c r="AE180" s="308"/>
      <c r="AF180" s="46"/>
    </row>
    <row r="181" spans="31:32" x14ac:dyDescent="0.2">
      <c r="AE181" s="308"/>
      <c r="AF181" s="46"/>
    </row>
    <row r="182" spans="31:32" x14ac:dyDescent="0.2">
      <c r="AE182" s="308"/>
      <c r="AF182" s="46"/>
    </row>
    <row r="183" spans="31:32" x14ac:dyDescent="0.2">
      <c r="AE183" s="308"/>
      <c r="AF183" s="46"/>
    </row>
    <row r="184" spans="31:32" x14ac:dyDescent="0.2">
      <c r="AE184" s="308"/>
      <c r="AF184" s="46"/>
    </row>
    <row r="185" spans="31:32" x14ac:dyDescent="0.2">
      <c r="AE185" s="308"/>
      <c r="AF185" s="46"/>
    </row>
    <row r="186" spans="31:32" x14ac:dyDescent="0.2">
      <c r="AE186" s="308"/>
      <c r="AF186" s="46"/>
    </row>
    <row r="187" spans="31:32" x14ac:dyDescent="0.2">
      <c r="AE187" s="308"/>
      <c r="AF187" s="46"/>
    </row>
    <row r="188" spans="31:32" x14ac:dyDescent="0.2">
      <c r="AE188" s="308"/>
      <c r="AF188" s="46"/>
    </row>
    <row r="189" spans="31:32" x14ac:dyDescent="0.2">
      <c r="AE189" s="308"/>
      <c r="AF189" s="46"/>
    </row>
    <row r="190" spans="31:32" x14ac:dyDescent="0.2">
      <c r="AE190" s="308"/>
      <c r="AF190" s="46"/>
    </row>
    <row r="191" spans="31:32" x14ac:dyDescent="0.2">
      <c r="AE191" s="308"/>
      <c r="AF191" s="46"/>
    </row>
    <row r="192" spans="31:32" x14ac:dyDescent="0.2">
      <c r="AE192" s="308"/>
      <c r="AF192" s="46"/>
    </row>
    <row r="193" spans="31:32" x14ac:dyDescent="0.2">
      <c r="AE193" s="308"/>
      <c r="AF193" s="46"/>
    </row>
    <row r="194" spans="31:32" x14ac:dyDescent="0.2">
      <c r="AE194" s="308"/>
      <c r="AF194" s="46"/>
    </row>
    <row r="195" spans="31:32" x14ac:dyDescent="0.2">
      <c r="AE195" s="308"/>
      <c r="AF195" s="46"/>
    </row>
    <row r="196" spans="31:32" x14ac:dyDescent="0.2">
      <c r="AE196" s="308"/>
      <c r="AF196" s="46"/>
    </row>
    <row r="197" spans="31:32" x14ac:dyDescent="0.2">
      <c r="AE197" s="308"/>
      <c r="AF197" s="46"/>
    </row>
    <row r="198" spans="31:32" x14ac:dyDescent="0.2">
      <c r="AE198" s="308"/>
      <c r="AF198" s="46"/>
    </row>
    <row r="199" spans="31:32" x14ac:dyDescent="0.2">
      <c r="AE199" s="308"/>
      <c r="AF199" s="46"/>
    </row>
    <row r="200" spans="31:32" x14ac:dyDescent="0.2">
      <c r="AE200" s="308"/>
      <c r="AF200" s="46"/>
    </row>
    <row r="201" spans="31:32" x14ac:dyDescent="0.2">
      <c r="AE201" s="308"/>
      <c r="AF201" s="46"/>
    </row>
    <row r="202" spans="31:32" x14ac:dyDescent="0.2">
      <c r="AE202" s="308"/>
      <c r="AF202" s="46"/>
    </row>
    <row r="203" spans="31:32" x14ac:dyDescent="0.2">
      <c r="AE203" s="308"/>
      <c r="AF203" s="46"/>
    </row>
    <row r="204" spans="31:32" x14ac:dyDescent="0.2">
      <c r="AE204" s="308"/>
      <c r="AF204" s="46"/>
    </row>
    <row r="205" spans="31:32" x14ac:dyDescent="0.2">
      <c r="AE205" s="308"/>
      <c r="AF205" s="46"/>
    </row>
    <row r="206" spans="31:32" x14ac:dyDescent="0.2">
      <c r="AE206" s="308"/>
      <c r="AF206" s="46"/>
    </row>
    <row r="207" spans="31:32" x14ac:dyDescent="0.2">
      <c r="AE207" s="308"/>
      <c r="AF207" s="46"/>
    </row>
    <row r="208" spans="31:32" x14ac:dyDescent="0.2">
      <c r="AE208" s="308"/>
      <c r="AF208" s="46"/>
    </row>
    <row r="209" spans="31:32" x14ac:dyDescent="0.2">
      <c r="AE209" s="308"/>
      <c r="AF209" s="46"/>
    </row>
    <row r="210" spans="31:32" x14ac:dyDescent="0.2">
      <c r="AE210" s="308"/>
      <c r="AF210" s="46"/>
    </row>
    <row r="211" spans="31:32" x14ac:dyDescent="0.2">
      <c r="AE211" s="308"/>
      <c r="AF211" s="46"/>
    </row>
    <row r="212" spans="31:32" x14ac:dyDescent="0.2">
      <c r="AE212" s="308"/>
      <c r="AF212" s="46"/>
    </row>
    <row r="213" spans="31:32" x14ac:dyDescent="0.2">
      <c r="AE213" s="308"/>
      <c r="AF213" s="46"/>
    </row>
    <row r="214" spans="31:32" x14ac:dyDescent="0.2">
      <c r="AE214" s="308"/>
      <c r="AF214" s="46"/>
    </row>
    <row r="215" spans="31:32" x14ac:dyDescent="0.2">
      <c r="AE215" s="308"/>
      <c r="AF215" s="46"/>
    </row>
    <row r="216" spans="31:32" x14ac:dyDescent="0.2">
      <c r="AE216" s="308"/>
      <c r="AF216" s="46"/>
    </row>
    <row r="217" spans="31:32" x14ac:dyDescent="0.2">
      <c r="AE217" s="308"/>
      <c r="AF217" s="46"/>
    </row>
    <row r="218" spans="31:32" x14ac:dyDescent="0.2">
      <c r="AE218" s="308"/>
      <c r="AF218" s="46"/>
    </row>
    <row r="219" spans="31:32" x14ac:dyDescent="0.2">
      <c r="AE219" s="308"/>
      <c r="AF219" s="46"/>
    </row>
    <row r="220" spans="31:32" x14ac:dyDescent="0.2">
      <c r="AE220" s="308"/>
      <c r="AF220" s="46"/>
    </row>
    <row r="221" spans="31:32" x14ac:dyDescent="0.2">
      <c r="AE221" s="308"/>
      <c r="AF221" s="46"/>
    </row>
    <row r="222" spans="31:32" x14ac:dyDescent="0.2">
      <c r="AE222" s="308"/>
      <c r="AF222" s="46"/>
    </row>
    <row r="223" spans="31:32" x14ac:dyDescent="0.2">
      <c r="AE223" s="308"/>
      <c r="AF223" s="46"/>
    </row>
    <row r="224" spans="31:32" x14ac:dyDescent="0.2">
      <c r="AE224" s="308"/>
      <c r="AF224" s="46"/>
    </row>
    <row r="225" spans="31:32" x14ac:dyDescent="0.2">
      <c r="AE225" s="308"/>
      <c r="AF225" s="46"/>
    </row>
    <row r="226" spans="31:32" x14ac:dyDescent="0.2">
      <c r="AE226" s="308"/>
      <c r="AF226" s="46"/>
    </row>
    <row r="227" spans="31:32" x14ac:dyDescent="0.2">
      <c r="AE227" s="308"/>
      <c r="AF227" s="46"/>
    </row>
    <row r="228" spans="31:32" x14ac:dyDescent="0.2">
      <c r="AE228" s="308"/>
      <c r="AF228" s="46"/>
    </row>
    <row r="229" spans="31:32" x14ac:dyDescent="0.2">
      <c r="AE229" s="308"/>
      <c r="AF229" s="46"/>
    </row>
    <row r="230" spans="31:32" x14ac:dyDescent="0.2">
      <c r="AE230" s="308"/>
      <c r="AF230" s="46"/>
    </row>
    <row r="231" spans="31:32" x14ac:dyDescent="0.2">
      <c r="AE231" s="308"/>
      <c r="AF231" s="46"/>
    </row>
    <row r="232" spans="31:32" x14ac:dyDescent="0.2">
      <c r="AE232" s="308"/>
      <c r="AF232" s="46"/>
    </row>
    <row r="233" spans="31:32" x14ac:dyDescent="0.2">
      <c r="AE233" s="308"/>
      <c r="AF233" s="46"/>
    </row>
    <row r="234" spans="31:32" x14ac:dyDescent="0.2">
      <c r="AE234" s="308"/>
      <c r="AF234" s="46"/>
    </row>
    <row r="235" spans="31:32" x14ac:dyDescent="0.2">
      <c r="AE235" s="308"/>
      <c r="AF235" s="46"/>
    </row>
    <row r="236" spans="31:32" x14ac:dyDescent="0.2">
      <c r="AE236" s="308"/>
      <c r="AF236" s="46"/>
    </row>
    <row r="237" spans="31:32" x14ac:dyDescent="0.2">
      <c r="AE237" s="308"/>
      <c r="AF237" s="46"/>
    </row>
    <row r="238" spans="31:32" x14ac:dyDescent="0.2">
      <c r="AE238" s="308"/>
      <c r="AF238" s="46"/>
    </row>
    <row r="239" spans="31:32" x14ac:dyDescent="0.2">
      <c r="AE239" s="308"/>
      <c r="AF239" s="46"/>
    </row>
    <row r="240" spans="31:32" x14ac:dyDescent="0.2">
      <c r="AE240" s="308"/>
      <c r="AF240" s="46"/>
    </row>
    <row r="241" spans="31:32" x14ac:dyDescent="0.2">
      <c r="AE241" s="308"/>
      <c r="AF241" s="46"/>
    </row>
    <row r="242" spans="31:32" x14ac:dyDescent="0.2">
      <c r="AE242" s="308"/>
      <c r="AF242" s="46"/>
    </row>
    <row r="243" spans="31:32" x14ac:dyDescent="0.2">
      <c r="AE243" s="308"/>
      <c r="AF243" s="46"/>
    </row>
    <row r="244" spans="31:32" x14ac:dyDescent="0.2">
      <c r="AE244" s="308"/>
      <c r="AF244" s="46"/>
    </row>
    <row r="245" spans="31:32" x14ac:dyDescent="0.2">
      <c r="AE245" s="308"/>
      <c r="AF245" s="46"/>
    </row>
    <row r="246" spans="31:32" x14ac:dyDescent="0.2">
      <c r="AE246" s="308"/>
      <c r="AF246" s="46"/>
    </row>
    <row r="247" spans="31:32" x14ac:dyDescent="0.2">
      <c r="AE247" s="308"/>
      <c r="AF247" s="46"/>
    </row>
    <row r="248" spans="31:32" x14ac:dyDescent="0.2">
      <c r="AE248" s="308"/>
      <c r="AF248" s="46"/>
    </row>
    <row r="249" spans="31:32" x14ac:dyDescent="0.2">
      <c r="AE249" s="308"/>
      <c r="AF249" s="46"/>
    </row>
    <row r="250" spans="31:32" x14ac:dyDescent="0.2">
      <c r="AE250" s="308"/>
      <c r="AF250" s="46"/>
    </row>
    <row r="251" spans="31:32" x14ac:dyDescent="0.2">
      <c r="AE251" s="308"/>
      <c r="AF251" s="46"/>
    </row>
    <row r="252" spans="31:32" x14ac:dyDescent="0.2">
      <c r="AE252" s="308"/>
      <c r="AF252" s="46"/>
    </row>
    <row r="253" spans="31:32" x14ac:dyDescent="0.2">
      <c r="AE253" s="308"/>
      <c r="AF253" s="46"/>
    </row>
    <row r="254" spans="31:32" x14ac:dyDescent="0.2">
      <c r="AE254" s="308"/>
      <c r="AF254" s="46"/>
    </row>
    <row r="255" spans="31:32" x14ac:dyDescent="0.2">
      <c r="AE255" s="308"/>
      <c r="AF255" s="46"/>
    </row>
    <row r="256" spans="31:32" x14ac:dyDescent="0.2">
      <c r="AE256" s="308"/>
      <c r="AF256" s="46"/>
    </row>
    <row r="257" spans="31:32" x14ac:dyDescent="0.2">
      <c r="AE257" s="308"/>
      <c r="AF257" s="46"/>
    </row>
    <row r="258" spans="31:32" x14ac:dyDescent="0.2">
      <c r="AE258" s="308"/>
      <c r="AF258" s="46"/>
    </row>
    <row r="259" spans="31:32" x14ac:dyDescent="0.2">
      <c r="AE259" s="308"/>
      <c r="AF259" s="46"/>
    </row>
    <row r="260" spans="31:32" x14ac:dyDescent="0.2">
      <c r="AE260" s="308"/>
      <c r="AF260" s="46"/>
    </row>
    <row r="261" spans="31:32" x14ac:dyDescent="0.2">
      <c r="AE261" s="308"/>
      <c r="AF261" s="46"/>
    </row>
    <row r="262" spans="31:32" x14ac:dyDescent="0.2">
      <c r="AE262" s="308"/>
      <c r="AF262" s="46"/>
    </row>
    <row r="263" spans="31:32" x14ac:dyDescent="0.2">
      <c r="AE263" s="308"/>
      <c r="AF263" s="46"/>
    </row>
    <row r="264" spans="31:32" x14ac:dyDescent="0.2">
      <c r="AE264" s="308"/>
      <c r="AF264" s="46"/>
    </row>
    <row r="265" spans="31:32" x14ac:dyDescent="0.2">
      <c r="AE265" s="308"/>
      <c r="AF265" s="46"/>
    </row>
    <row r="266" spans="31:32" x14ac:dyDescent="0.2">
      <c r="AE266" s="308"/>
      <c r="AF266" s="46"/>
    </row>
    <row r="267" spans="31:32" x14ac:dyDescent="0.2">
      <c r="AE267" s="308"/>
      <c r="AF267" s="46"/>
    </row>
    <row r="268" spans="31:32" x14ac:dyDescent="0.2">
      <c r="AE268" s="308"/>
      <c r="AF268" s="46"/>
    </row>
    <row r="269" spans="31:32" x14ac:dyDescent="0.2">
      <c r="AE269" s="308"/>
      <c r="AF269" s="46"/>
    </row>
    <row r="270" spans="31:32" x14ac:dyDescent="0.2">
      <c r="AE270" s="308"/>
      <c r="AF270" s="46"/>
    </row>
    <row r="271" spans="31:32" x14ac:dyDescent="0.2">
      <c r="AE271" s="308"/>
      <c r="AF271" s="46"/>
    </row>
    <row r="272" spans="31:32" x14ac:dyDescent="0.2">
      <c r="AE272" s="308"/>
      <c r="AF272" s="46"/>
    </row>
    <row r="273" spans="31:32" x14ac:dyDescent="0.2">
      <c r="AE273" s="308"/>
      <c r="AF273" s="46"/>
    </row>
    <row r="274" spans="31:32" x14ac:dyDescent="0.2">
      <c r="AE274" s="308"/>
      <c r="AF274" s="46"/>
    </row>
    <row r="275" spans="31:32" x14ac:dyDescent="0.2">
      <c r="AE275" s="308"/>
      <c r="AF275" s="46"/>
    </row>
    <row r="276" spans="31:32" x14ac:dyDescent="0.2">
      <c r="AE276" s="308"/>
      <c r="AF276" s="46"/>
    </row>
    <row r="277" spans="31:32" x14ac:dyDescent="0.2">
      <c r="AE277" s="308"/>
      <c r="AF277" s="46"/>
    </row>
    <row r="278" spans="31:32" x14ac:dyDescent="0.2">
      <c r="AE278" s="308"/>
      <c r="AF278" s="46"/>
    </row>
    <row r="279" spans="31:32" x14ac:dyDescent="0.2">
      <c r="AE279" s="308"/>
      <c r="AF279" s="46"/>
    </row>
    <row r="280" spans="31:32" x14ac:dyDescent="0.2">
      <c r="AE280" s="308"/>
      <c r="AF280" s="46"/>
    </row>
    <row r="281" spans="31:32" x14ac:dyDescent="0.2">
      <c r="AE281" s="308"/>
      <c r="AF281" s="46"/>
    </row>
    <row r="282" spans="31:32" x14ac:dyDescent="0.2">
      <c r="AE282" s="308"/>
      <c r="AF282" s="46"/>
    </row>
    <row r="283" spans="31:32" x14ac:dyDescent="0.2">
      <c r="AE283" s="308"/>
      <c r="AF283" s="46"/>
    </row>
    <row r="284" spans="31:32" x14ac:dyDescent="0.2">
      <c r="AE284" s="308"/>
      <c r="AF284" s="46"/>
    </row>
    <row r="285" spans="31:32" x14ac:dyDescent="0.2">
      <c r="AE285" s="308"/>
      <c r="AF285" s="46"/>
    </row>
    <row r="286" spans="31:32" x14ac:dyDescent="0.2">
      <c r="AE286" s="308"/>
      <c r="AF286" s="46"/>
    </row>
    <row r="287" spans="31:32" x14ac:dyDescent="0.2">
      <c r="AE287" s="308"/>
      <c r="AF287" s="46"/>
    </row>
    <row r="288" spans="31:32" x14ac:dyDescent="0.2">
      <c r="AE288" s="308"/>
      <c r="AF288" s="46"/>
    </row>
    <row r="289" spans="31:32" x14ac:dyDescent="0.2">
      <c r="AE289" s="308"/>
      <c r="AF289" s="46"/>
    </row>
    <row r="290" spans="31:32" x14ac:dyDescent="0.2">
      <c r="AE290" s="308"/>
      <c r="AF290" s="46"/>
    </row>
    <row r="291" spans="31:32" x14ac:dyDescent="0.2">
      <c r="AE291" s="308"/>
      <c r="AF291" s="46"/>
    </row>
    <row r="292" spans="31:32" x14ac:dyDescent="0.2">
      <c r="AE292" s="308"/>
      <c r="AF292" s="46"/>
    </row>
    <row r="293" spans="31:32" x14ac:dyDescent="0.2">
      <c r="AE293" s="308"/>
      <c r="AF293" s="46"/>
    </row>
    <row r="294" spans="31:32" x14ac:dyDescent="0.2">
      <c r="AE294" s="308"/>
      <c r="AF294" s="46"/>
    </row>
    <row r="295" spans="31:32" x14ac:dyDescent="0.2">
      <c r="AE295" s="308"/>
      <c r="AF295" s="46"/>
    </row>
    <row r="296" spans="31:32" x14ac:dyDescent="0.2">
      <c r="AE296" s="308"/>
      <c r="AF296" s="46"/>
    </row>
    <row r="297" spans="31:32" x14ac:dyDescent="0.2">
      <c r="AE297" s="308"/>
      <c r="AF297" s="46"/>
    </row>
    <row r="298" spans="31:32" x14ac:dyDescent="0.2">
      <c r="AE298" s="308"/>
      <c r="AF298" s="46"/>
    </row>
    <row r="299" spans="31:32" x14ac:dyDescent="0.2">
      <c r="AE299" s="308"/>
      <c r="AF299" s="46"/>
    </row>
    <row r="300" spans="31:32" x14ac:dyDescent="0.2">
      <c r="AE300" s="308"/>
      <c r="AF300" s="46"/>
    </row>
    <row r="301" spans="31:32" x14ac:dyDescent="0.2">
      <c r="AE301" s="308"/>
      <c r="AF301" s="46"/>
    </row>
    <row r="302" spans="31:32" x14ac:dyDescent="0.2">
      <c r="AE302" s="308"/>
      <c r="AF302" s="46"/>
    </row>
    <row r="303" spans="31:32" x14ac:dyDescent="0.2">
      <c r="AE303" s="308"/>
      <c r="AF303" s="46"/>
    </row>
    <row r="304" spans="31:32" x14ac:dyDescent="0.2">
      <c r="AE304" s="308"/>
      <c r="AF304" s="46"/>
    </row>
    <row r="305" spans="31:32" x14ac:dyDescent="0.2">
      <c r="AE305" s="308"/>
      <c r="AF305" s="46"/>
    </row>
    <row r="306" spans="31:32" x14ac:dyDescent="0.2">
      <c r="AE306" s="308"/>
      <c r="AF306" s="46"/>
    </row>
    <row r="307" spans="31:32" x14ac:dyDescent="0.2">
      <c r="AE307" s="308"/>
      <c r="AF307" s="46"/>
    </row>
    <row r="308" spans="31:32" x14ac:dyDescent="0.2">
      <c r="AE308" s="308"/>
      <c r="AF308" s="46"/>
    </row>
    <row r="309" spans="31:32" x14ac:dyDescent="0.2">
      <c r="AE309" s="308"/>
      <c r="AF309" s="46"/>
    </row>
    <row r="310" spans="31:32" x14ac:dyDescent="0.2">
      <c r="AE310" s="308"/>
      <c r="AF310" s="46"/>
    </row>
    <row r="311" spans="31:32" x14ac:dyDescent="0.2">
      <c r="AE311" s="308"/>
      <c r="AF311" s="46"/>
    </row>
    <row r="312" spans="31:32" x14ac:dyDescent="0.2">
      <c r="AE312" s="308"/>
      <c r="AF312" s="46"/>
    </row>
    <row r="313" spans="31:32" x14ac:dyDescent="0.2">
      <c r="AE313" s="308"/>
      <c r="AF313" s="46"/>
    </row>
    <row r="314" spans="31:32" x14ac:dyDescent="0.2">
      <c r="AE314" s="308"/>
      <c r="AF314" s="46"/>
    </row>
    <row r="315" spans="31:32" x14ac:dyDescent="0.2">
      <c r="AE315" s="308"/>
      <c r="AF315" s="46"/>
    </row>
    <row r="316" spans="31:32" x14ac:dyDescent="0.2">
      <c r="AE316" s="308"/>
      <c r="AF316" s="46"/>
    </row>
    <row r="317" spans="31:32" x14ac:dyDescent="0.2">
      <c r="AE317" s="308"/>
      <c r="AF317" s="46"/>
    </row>
    <row r="318" spans="31:32" x14ac:dyDescent="0.2">
      <c r="AE318" s="308"/>
      <c r="AF318" s="46"/>
    </row>
    <row r="319" spans="31:32" x14ac:dyDescent="0.2">
      <c r="AE319" s="308"/>
      <c r="AF319" s="46"/>
    </row>
    <row r="320" spans="31:32" x14ac:dyDescent="0.2">
      <c r="AE320" s="308"/>
      <c r="AF320" s="46"/>
    </row>
    <row r="321" spans="31:32" x14ac:dyDescent="0.2">
      <c r="AE321" s="308"/>
      <c r="AF321" s="46"/>
    </row>
    <row r="322" spans="31:32" x14ac:dyDescent="0.2">
      <c r="AE322" s="308"/>
      <c r="AF322" s="46"/>
    </row>
    <row r="323" spans="31:32" x14ac:dyDescent="0.2">
      <c r="AE323" s="308"/>
      <c r="AF323" s="46"/>
    </row>
    <row r="324" spans="31:32" x14ac:dyDescent="0.2">
      <c r="AE324" s="308"/>
      <c r="AF324" s="46"/>
    </row>
    <row r="325" spans="31:32" x14ac:dyDescent="0.2">
      <c r="AE325" s="308"/>
      <c r="AF325" s="46"/>
    </row>
    <row r="326" spans="31:32" x14ac:dyDescent="0.2">
      <c r="AE326" s="308"/>
      <c r="AF326" s="46"/>
    </row>
    <row r="327" spans="31:32" x14ac:dyDescent="0.2">
      <c r="AE327" s="308"/>
      <c r="AF327" s="46"/>
    </row>
    <row r="328" spans="31:32" x14ac:dyDescent="0.2">
      <c r="AE328" s="308"/>
      <c r="AF328" s="46"/>
    </row>
    <row r="329" spans="31:32" x14ac:dyDescent="0.2">
      <c r="AE329" s="308"/>
      <c r="AF329" s="46"/>
    </row>
    <row r="330" spans="31:32" x14ac:dyDescent="0.2">
      <c r="AE330" s="308"/>
      <c r="AF330" s="46"/>
    </row>
    <row r="331" spans="31:32" x14ac:dyDescent="0.2">
      <c r="AE331" s="308"/>
      <c r="AF331" s="46"/>
    </row>
    <row r="332" spans="31:32" x14ac:dyDescent="0.2">
      <c r="AE332" s="308"/>
      <c r="AF332" s="46"/>
    </row>
    <row r="333" spans="31:32" x14ac:dyDescent="0.2">
      <c r="AE333" s="308"/>
      <c r="AF333" s="46"/>
    </row>
    <row r="334" spans="31:32" x14ac:dyDescent="0.2">
      <c r="AE334" s="308"/>
      <c r="AF334" s="46"/>
    </row>
    <row r="335" spans="31:32" x14ac:dyDescent="0.2">
      <c r="AE335" s="308"/>
      <c r="AF335" s="46"/>
    </row>
    <row r="336" spans="31:32" x14ac:dyDescent="0.2">
      <c r="AE336" s="308"/>
      <c r="AF336" s="46"/>
    </row>
    <row r="337" spans="31:32" x14ac:dyDescent="0.2">
      <c r="AE337" s="308"/>
      <c r="AF337" s="46"/>
    </row>
    <row r="338" spans="31:32" x14ac:dyDescent="0.2">
      <c r="AE338" s="308"/>
      <c r="AF338" s="46"/>
    </row>
    <row r="339" spans="31:32" x14ac:dyDescent="0.2">
      <c r="AE339" s="308"/>
      <c r="AF339" s="46"/>
    </row>
    <row r="340" spans="31:32" x14ac:dyDescent="0.2">
      <c r="AE340" s="308"/>
      <c r="AF340" s="46"/>
    </row>
    <row r="341" spans="31:32" x14ac:dyDescent="0.2">
      <c r="AE341" s="308"/>
      <c r="AF341" s="46"/>
    </row>
    <row r="342" spans="31:32" x14ac:dyDescent="0.2">
      <c r="AE342" s="308"/>
      <c r="AF342" s="46"/>
    </row>
    <row r="343" spans="31:32" x14ac:dyDescent="0.2">
      <c r="AE343" s="308"/>
      <c r="AF343" s="46"/>
    </row>
    <row r="344" spans="31:32" x14ac:dyDescent="0.2">
      <c r="AE344" s="308"/>
      <c r="AF344" s="46"/>
    </row>
    <row r="345" spans="31:32" x14ac:dyDescent="0.2">
      <c r="AE345" s="308"/>
      <c r="AF345" s="46"/>
    </row>
    <row r="346" spans="31:32" x14ac:dyDescent="0.2">
      <c r="AE346" s="308"/>
      <c r="AF346" s="46"/>
    </row>
    <row r="347" spans="31:32" x14ac:dyDescent="0.2">
      <c r="AE347" s="308"/>
      <c r="AF347" s="46"/>
    </row>
    <row r="348" spans="31:32" x14ac:dyDescent="0.2">
      <c r="AE348" s="308"/>
      <c r="AF348" s="46"/>
    </row>
    <row r="349" spans="31:32" x14ac:dyDescent="0.2">
      <c r="AE349" s="308"/>
      <c r="AF349" s="46"/>
    </row>
    <row r="350" spans="31:32" x14ac:dyDescent="0.2">
      <c r="AE350" s="308"/>
      <c r="AF350" s="46"/>
    </row>
    <row r="351" spans="31:32" x14ac:dyDescent="0.2">
      <c r="AE351" s="308"/>
      <c r="AF351" s="46"/>
    </row>
    <row r="352" spans="31:32" x14ac:dyDescent="0.2">
      <c r="AE352" s="308"/>
      <c r="AF352" s="46"/>
    </row>
    <row r="353" spans="31:32" x14ac:dyDescent="0.2">
      <c r="AE353" s="308"/>
      <c r="AF353" s="46"/>
    </row>
    <row r="354" spans="31:32" x14ac:dyDescent="0.2">
      <c r="AE354" s="308"/>
      <c r="AF354" s="46"/>
    </row>
    <row r="355" spans="31:32" x14ac:dyDescent="0.2">
      <c r="AE355" s="308"/>
      <c r="AF355" s="46"/>
    </row>
    <row r="356" spans="31:32" x14ac:dyDescent="0.2">
      <c r="AE356" s="308"/>
      <c r="AF356" s="46"/>
    </row>
    <row r="357" spans="31:32" x14ac:dyDescent="0.2">
      <c r="AE357" s="308"/>
      <c r="AF357" s="46"/>
    </row>
    <row r="358" spans="31:32" x14ac:dyDescent="0.2">
      <c r="AE358" s="308"/>
      <c r="AF358" s="46"/>
    </row>
    <row r="359" spans="31:32" x14ac:dyDescent="0.2">
      <c r="AE359" s="308"/>
      <c r="AF359" s="46"/>
    </row>
    <row r="360" spans="31:32" x14ac:dyDescent="0.2">
      <c r="AE360" s="308"/>
      <c r="AF360" s="46"/>
    </row>
    <row r="361" spans="31:32" x14ac:dyDescent="0.2">
      <c r="AE361" s="308"/>
      <c r="AF361" s="46"/>
    </row>
    <row r="362" spans="31:32" x14ac:dyDescent="0.2">
      <c r="AE362" s="308"/>
      <c r="AF362" s="46"/>
    </row>
    <row r="363" spans="31:32" x14ac:dyDescent="0.2">
      <c r="AE363" s="308"/>
      <c r="AF363" s="46"/>
    </row>
    <row r="364" spans="31:32" x14ac:dyDescent="0.2">
      <c r="AE364" s="308"/>
      <c r="AF364" s="46"/>
    </row>
    <row r="365" spans="31:32" x14ac:dyDescent="0.2">
      <c r="AE365" s="308"/>
      <c r="AF365" s="46"/>
    </row>
    <row r="366" spans="31:32" x14ac:dyDescent="0.2">
      <c r="AE366" s="308"/>
      <c r="AF366" s="46"/>
    </row>
    <row r="367" spans="31:32" x14ac:dyDescent="0.2">
      <c r="AE367" s="308"/>
      <c r="AF367" s="46"/>
    </row>
    <row r="368" spans="31:32" x14ac:dyDescent="0.2">
      <c r="AE368" s="308"/>
      <c r="AF368" s="46"/>
    </row>
    <row r="369" spans="31:32" x14ac:dyDescent="0.2">
      <c r="AE369" s="308"/>
      <c r="AF369" s="46"/>
    </row>
    <row r="370" spans="31:32" x14ac:dyDescent="0.2">
      <c r="AE370" s="308"/>
      <c r="AF370" s="46"/>
    </row>
    <row r="371" spans="31:32" x14ac:dyDescent="0.2">
      <c r="AE371" s="308"/>
      <c r="AF371" s="46"/>
    </row>
    <row r="372" spans="31:32" x14ac:dyDescent="0.2">
      <c r="AE372" s="308"/>
      <c r="AF372" s="46"/>
    </row>
    <row r="373" spans="31:32" x14ac:dyDescent="0.2">
      <c r="AE373" s="308"/>
      <c r="AF373" s="46"/>
    </row>
    <row r="374" spans="31:32" x14ac:dyDescent="0.2">
      <c r="AE374" s="308"/>
      <c r="AF374" s="46"/>
    </row>
    <row r="375" spans="31:32" x14ac:dyDescent="0.2">
      <c r="AE375" s="308"/>
      <c r="AF375" s="46"/>
    </row>
    <row r="376" spans="31:32" x14ac:dyDescent="0.2">
      <c r="AE376" s="308"/>
      <c r="AF376" s="46"/>
    </row>
    <row r="377" spans="31:32" x14ac:dyDescent="0.2">
      <c r="AE377" s="308"/>
      <c r="AF377" s="46"/>
    </row>
    <row r="378" spans="31:32" x14ac:dyDescent="0.2">
      <c r="AE378" s="308"/>
      <c r="AF378" s="46"/>
    </row>
    <row r="379" spans="31:32" x14ac:dyDescent="0.2">
      <c r="AE379" s="308"/>
      <c r="AF379" s="46"/>
    </row>
    <row r="380" spans="31:32" x14ac:dyDescent="0.2">
      <c r="AE380" s="308"/>
      <c r="AF380" s="46"/>
    </row>
    <row r="381" spans="31:32" x14ac:dyDescent="0.2">
      <c r="AE381" s="308"/>
      <c r="AF381" s="46"/>
    </row>
    <row r="382" spans="31:32" x14ac:dyDescent="0.2">
      <c r="AE382" s="308"/>
      <c r="AF382" s="46"/>
    </row>
    <row r="383" spans="31:32" x14ac:dyDescent="0.2">
      <c r="AE383" s="308"/>
      <c r="AF383" s="46"/>
    </row>
    <row r="384" spans="31:32" x14ac:dyDescent="0.2">
      <c r="AE384" s="308"/>
      <c r="AF384" s="46"/>
    </row>
    <row r="385" spans="31:32" x14ac:dyDescent="0.2">
      <c r="AE385" s="308"/>
      <c r="AF385" s="46"/>
    </row>
    <row r="386" spans="31:32" x14ac:dyDescent="0.2">
      <c r="AE386" s="308"/>
      <c r="AF386" s="46"/>
    </row>
    <row r="387" spans="31:32" x14ac:dyDescent="0.2">
      <c r="AE387" s="308"/>
      <c r="AF387" s="46"/>
    </row>
    <row r="388" spans="31:32" x14ac:dyDescent="0.2">
      <c r="AE388" s="308"/>
      <c r="AF388" s="46"/>
    </row>
    <row r="389" spans="31:32" x14ac:dyDescent="0.2">
      <c r="AE389" s="308"/>
      <c r="AF389" s="46"/>
    </row>
    <row r="390" spans="31:32" x14ac:dyDescent="0.2">
      <c r="AE390" s="308"/>
      <c r="AF390" s="46"/>
    </row>
    <row r="391" spans="31:32" x14ac:dyDescent="0.2">
      <c r="AE391" s="308"/>
      <c r="AF391" s="46"/>
    </row>
    <row r="392" spans="31:32" x14ac:dyDescent="0.2">
      <c r="AE392" s="308"/>
      <c r="AF392" s="46"/>
    </row>
    <row r="393" spans="31:32" x14ac:dyDescent="0.2">
      <c r="AE393" s="308"/>
      <c r="AF393" s="46"/>
    </row>
    <row r="394" spans="31:32" x14ac:dyDescent="0.2">
      <c r="AE394" s="308"/>
      <c r="AF394" s="46"/>
    </row>
    <row r="395" spans="31:32" x14ac:dyDescent="0.2">
      <c r="AE395" s="308"/>
      <c r="AF395" s="46"/>
    </row>
    <row r="396" spans="31:32" x14ac:dyDescent="0.2">
      <c r="AE396" s="308"/>
      <c r="AF396" s="46"/>
    </row>
    <row r="397" spans="31:32" x14ac:dyDescent="0.2">
      <c r="AE397" s="308"/>
      <c r="AF397" s="46"/>
    </row>
    <row r="398" spans="31:32" x14ac:dyDescent="0.2">
      <c r="AE398" s="308"/>
      <c r="AF398" s="46"/>
    </row>
    <row r="399" spans="31:32" x14ac:dyDescent="0.2">
      <c r="AE399" s="308"/>
      <c r="AF399" s="46"/>
    </row>
    <row r="400" spans="31:32" x14ac:dyDescent="0.2">
      <c r="AE400" s="308"/>
      <c r="AF400" s="46"/>
    </row>
    <row r="401" spans="31:32" x14ac:dyDescent="0.2">
      <c r="AE401" s="308"/>
      <c r="AF401" s="46"/>
    </row>
    <row r="402" spans="31:32" x14ac:dyDescent="0.2">
      <c r="AE402" s="308"/>
      <c r="AF402" s="46"/>
    </row>
    <row r="403" spans="31:32" x14ac:dyDescent="0.2">
      <c r="AE403" s="308"/>
      <c r="AF403" s="46"/>
    </row>
    <row r="404" spans="31:32" x14ac:dyDescent="0.2">
      <c r="AE404" s="308"/>
      <c r="AF404" s="46"/>
    </row>
    <row r="405" spans="31:32" x14ac:dyDescent="0.2">
      <c r="AE405" s="308"/>
      <c r="AF405" s="46"/>
    </row>
    <row r="406" spans="31:32" x14ac:dyDescent="0.2">
      <c r="AE406" s="308"/>
      <c r="AF406" s="46"/>
    </row>
    <row r="407" spans="31:32" x14ac:dyDescent="0.2">
      <c r="AE407" s="308"/>
      <c r="AF407" s="46"/>
    </row>
    <row r="408" spans="31:32" x14ac:dyDescent="0.2">
      <c r="AE408" s="308"/>
      <c r="AF408" s="46"/>
    </row>
    <row r="409" spans="31:32" x14ac:dyDescent="0.2">
      <c r="AE409" s="308"/>
      <c r="AF409" s="46"/>
    </row>
    <row r="410" spans="31:32" x14ac:dyDescent="0.2">
      <c r="AE410" s="308"/>
      <c r="AF410" s="46"/>
    </row>
    <row r="411" spans="31:32" x14ac:dyDescent="0.2">
      <c r="AE411" s="308"/>
      <c r="AF411" s="46"/>
    </row>
    <row r="412" spans="31:32" x14ac:dyDescent="0.2">
      <c r="AE412" s="308"/>
      <c r="AF412" s="46"/>
    </row>
    <row r="413" spans="31:32" x14ac:dyDescent="0.2">
      <c r="AE413" s="308"/>
      <c r="AF413" s="46"/>
    </row>
    <row r="414" spans="31:32" x14ac:dyDescent="0.2">
      <c r="AE414" s="308"/>
      <c r="AF414" s="46"/>
    </row>
    <row r="415" spans="31:32" x14ac:dyDescent="0.2">
      <c r="AE415" s="308"/>
      <c r="AF415" s="46"/>
    </row>
    <row r="416" spans="31:32" x14ac:dyDescent="0.2">
      <c r="AE416" s="308"/>
      <c r="AF416" s="46"/>
    </row>
    <row r="417" spans="31:32" x14ac:dyDescent="0.2">
      <c r="AE417" s="308"/>
      <c r="AF417" s="46"/>
    </row>
    <row r="418" spans="31:32" x14ac:dyDescent="0.2">
      <c r="AE418" s="308"/>
      <c r="AF418" s="46"/>
    </row>
    <row r="419" spans="31:32" x14ac:dyDescent="0.2">
      <c r="AE419" s="308"/>
      <c r="AF419" s="46"/>
    </row>
    <row r="420" spans="31:32" x14ac:dyDescent="0.2">
      <c r="AE420" s="308"/>
      <c r="AF420" s="46"/>
    </row>
    <row r="421" spans="31:32" x14ac:dyDescent="0.2">
      <c r="AE421" s="308"/>
      <c r="AF421" s="46"/>
    </row>
    <row r="422" spans="31:32" x14ac:dyDescent="0.2">
      <c r="AE422" s="308"/>
      <c r="AF422" s="46"/>
    </row>
    <row r="423" spans="31:32" x14ac:dyDescent="0.2">
      <c r="AE423" s="308"/>
      <c r="AF423" s="46"/>
    </row>
    <row r="424" spans="31:32" x14ac:dyDescent="0.2">
      <c r="AE424" s="308"/>
      <c r="AF424" s="46"/>
    </row>
    <row r="425" spans="31:32" x14ac:dyDescent="0.2">
      <c r="AE425" s="308"/>
      <c r="AF425" s="46"/>
    </row>
    <row r="426" spans="31:32" x14ac:dyDescent="0.2">
      <c r="AE426" s="308"/>
      <c r="AF426" s="46"/>
    </row>
    <row r="427" spans="31:32" x14ac:dyDescent="0.2">
      <c r="AE427" s="308"/>
      <c r="AF427" s="46"/>
    </row>
    <row r="428" spans="31:32" x14ac:dyDescent="0.2">
      <c r="AE428" s="308"/>
      <c r="AF428" s="46"/>
    </row>
    <row r="429" spans="31:32" x14ac:dyDescent="0.2">
      <c r="AE429" s="308"/>
      <c r="AF429" s="46"/>
    </row>
    <row r="430" spans="31:32" x14ac:dyDescent="0.2">
      <c r="AE430" s="308"/>
      <c r="AF430" s="46"/>
    </row>
    <row r="431" spans="31:32" x14ac:dyDescent="0.2">
      <c r="AE431" s="308"/>
      <c r="AF431" s="46"/>
    </row>
    <row r="432" spans="31:32" x14ac:dyDescent="0.2">
      <c r="AE432" s="308"/>
      <c r="AF432" s="46"/>
    </row>
    <row r="433" spans="31:32" x14ac:dyDescent="0.2">
      <c r="AE433" s="308"/>
      <c r="AF433" s="46"/>
    </row>
    <row r="434" spans="31:32" x14ac:dyDescent="0.2">
      <c r="AE434" s="308"/>
      <c r="AF434" s="46"/>
    </row>
    <row r="435" spans="31:32" x14ac:dyDescent="0.2">
      <c r="AE435" s="308"/>
      <c r="AF435" s="46"/>
    </row>
    <row r="436" spans="31:32" x14ac:dyDescent="0.2">
      <c r="AE436" s="308"/>
      <c r="AF436" s="46"/>
    </row>
    <row r="437" spans="31:32" x14ac:dyDescent="0.2">
      <c r="AE437" s="308"/>
      <c r="AF437" s="46"/>
    </row>
    <row r="438" spans="31:32" x14ac:dyDescent="0.2">
      <c r="AE438" s="308"/>
      <c r="AF438" s="46"/>
    </row>
    <row r="439" spans="31:32" x14ac:dyDescent="0.2">
      <c r="AE439" s="308"/>
      <c r="AF439" s="46"/>
    </row>
    <row r="440" spans="31:32" x14ac:dyDescent="0.2">
      <c r="AE440" s="308"/>
      <c r="AF440" s="46"/>
    </row>
    <row r="441" spans="31:32" x14ac:dyDescent="0.2">
      <c r="AE441" s="308"/>
      <c r="AF441" s="46"/>
    </row>
    <row r="442" spans="31:32" x14ac:dyDescent="0.2">
      <c r="AE442" s="308"/>
      <c r="AF442" s="46"/>
    </row>
    <row r="443" spans="31:32" x14ac:dyDescent="0.2">
      <c r="AE443" s="308"/>
      <c r="AF443" s="46"/>
    </row>
    <row r="444" spans="31:32" x14ac:dyDescent="0.2">
      <c r="AE444" s="308"/>
      <c r="AF444" s="46"/>
    </row>
    <row r="445" spans="31:32" x14ac:dyDescent="0.2">
      <c r="AE445" s="308"/>
      <c r="AF445" s="46"/>
    </row>
    <row r="446" spans="31:32" x14ac:dyDescent="0.2">
      <c r="AE446" s="308"/>
      <c r="AF446" s="46"/>
    </row>
    <row r="447" spans="31:32" x14ac:dyDescent="0.2">
      <c r="AE447" s="308"/>
      <c r="AF447" s="46"/>
    </row>
    <row r="448" spans="31:32" x14ac:dyDescent="0.2">
      <c r="AE448" s="308"/>
      <c r="AF448" s="46"/>
    </row>
    <row r="449" spans="31:32" x14ac:dyDescent="0.2">
      <c r="AE449" s="308"/>
      <c r="AF449" s="46"/>
    </row>
    <row r="450" spans="31:32" x14ac:dyDescent="0.2">
      <c r="AE450" s="308"/>
      <c r="AF450" s="46"/>
    </row>
    <row r="451" spans="31:32" x14ac:dyDescent="0.2">
      <c r="AE451" s="308"/>
      <c r="AF451" s="46"/>
    </row>
    <row r="452" spans="31:32" x14ac:dyDescent="0.2">
      <c r="AE452" s="308"/>
      <c r="AF452" s="46"/>
    </row>
    <row r="453" spans="31:32" x14ac:dyDescent="0.2">
      <c r="AE453" s="308"/>
      <c r="AF453" s="46"/>
    </row>
    <row r="454" spans="31:32" x14ac:dyDescent="0.2">
      <c r="AE454" s="308"/>
      <c r="AF454" s="46"/>
    </row>
    <row r="455" spans="31:32" x14ac:dyDescent="0.2">
      <c r="AE455" s="308"/>
      <c r="AF455" s="46"/>
    </row>
    <row r="456" spans="31:32" x14ac:dyDescent="0.2">
      <c r="AE456" s="308"/>
      <c r="AF456" s="46"/>
    </row>
    <row r="457" spans="31:32" x14ac:dyDescent="0.2">
      <c r="AE457" s="308"/>
      <c r="AF457" s="46"/>
    </row>
    <row r="458" spans="31:32" x14ac:dyDescent="0.2">
      <c r="AE458" s="308"/>
      <c r="AF458" s="46"/>
    </row>
    <row r="459" spans="31:32" x14ac:dyDescent="0.2">
      <c r="AE459" s="308"/>
      <c r="AF459" s="46"/>
    </row>
    <row r="460" spans="31:32" x14ac:dyDescent="0.2">
      <c r="AE460" s="308"/>
      <c r="AF460" s="46"/>
    </row>
    <row r="461" spans="31:32" x14ac:dyDescent="0.2">
      <c r="AE461" s="308"/>
      <c r="AF461" s="46"/>
    </row>
    <row r="462" spans="31:32" x14ac:dyDescent="0.2">
      <c r="AE462" s="308"/>
      <c r="AF462" s="46"/>
    </row>
    <row r="463" spans="31:32" x14ac:dyDescent="0.2">
      <c r="AE463" s="308"/>
      <c r="AF463" s="46"/>
    </row>
    <row r="464" spans="31:32" x14ac:dyDescent="0.2">
      <c r="AE464" s="308"/>
      <c r="AF464" s="46"/>
    </row>
    <row r="465" spans="31:32" x14ac:dyDescent="0.2">
      <c r="AE465" s="308"/>
      <c r="AF465" s="46"/>
    </row>
    <row r="466" spans="31:32" x14ac:dyDescent="0.2">
      <c r="AE466" s="308"/>
      <c r="AF466" s="46"/>
    </row>
    <row r="467" spans="31:32" x14ac:dyDescent="0.2">
      <c r="AE467" s="308"/>
      <c r="AF467" s="46"/>
    </row>
    <row r="468" spans="31:32" x14ac:dyDescent="0.2">
      <c r="AE468" s="308"/>
      <c r="AF468" s="46"/>
    </row>
    <row r="469" spans="31:32" x14ac:dyDescent="0.2">
      <c r="AE469" s="308"/>
      <c r="AF469" s="46"/>
    </row>
    <row r="470" spans="31:32" x14ac:dyDescent="0.2">
      <c r="AE470" s="308"/>
      <c r="AF470" s="46"/>
    </row>
    <row r="471" spans="31:32" x14ac:dyDescent="0.2">
      <c r="AE471" s="308"/>
      <c r="AF471" s="46"/>
    </row>
    <row r="472" spans="31:32" x14ac:dyDescent="0.2">
      <c r="AE472" s="308"/>
      <c r="AF472" s="46"/>
    </row>
    <row r="473" spans="31:32" x14ac:dyDescent="0.2">
      <c r="AE473" s="308"/>
      <c r="AF473" s="46"/>
    </row>
    <row r="474" spans="31:32" x14ac:dyDescent="0.2">
      <c r="AE474" s="308"/>
      <c r="AF474" s="46"/>
    </row>
    <row r="475" spans="31:32" x14ac:dyDescent="0.2">
      <c r="AE475" s="308"/>
      <c r="AF475" s="46"/>
    </row>
    <row r="476" spans="31:32" x14ac:dyDescent="0.2">
      <c r="AE476" s="308"/>
      <c r="AF476" s="46"/>
    </row>
    <row r="477" spans="31:32" x14ac:dyDescent="0.2">
      <c r="AE477" s="308"/>
      <c r="AF477" s="46"/>
    </row>
    <row r="478" spans="31:32" x14ac:dyDescent="0.2">
      <c r="AE478" s="308"/>
      <c r="AF478" s="46"/>
    </row>
    <row r="479" spans="31:32" x14ac:dyDescent="0.2">
      <c r="AE479" s="308"/>
      <c r="AF479" s="46"/>
    </row>
    <row r="480" spans="31:32" x14ac:dyDescent="0.2">
      <c r="AE480" s="308"/>
      <c r="AF480" s="46"/>
    </row>
    <row r="481" spans="31:32" x14ac:dyDescent="0.2">
      <c r="AE481" s="308"/>
      <c r="AF481" s="46"/>
    </row>
    <row r="482" spans="31:32" x14ac:dyDescent="0.2">
      <c r="AE482" s="308"/>
      <c r="AF482" s="46"/>
    </row>
    <row r="483" spans="31:32" x14ac:dyDescent="0.2">
      <c r="AE483" s="308"/>
      <c r="AF483" s="46"/>
    </row>
    <row r="484" spans="31:32" x14ac:dyDescent="0.2">
      <c r="AE484" s="308"/>
      <c r="AF484" s="46"/>
    </row>
    <row r="485" spans="31:32" x14ac:dyDescent="0.2">
      <c r="AE485" s="308"/>
      <c r="AF485" s="46"/>
    </row>
    <row r="486" spans="31:32" x14ac:dyDescent="0.2">
      <c r="AE486" s="308"/>
      <c r="AF486" s="46"/>
    </row>
    <row r="487" spans="31:32" x14ac:dyDescent="0.2">
      <c r="AE487" s="308"/>
      <c r="AF487" s="46"/>
    </row>
    <row r="488" spans="31:32" x14ac:dyDescent="0.2">
      <c r="AE488" s="308"/>
      <c r="AF488" s="46"/>
    </row>
    <row r="489" spans="31:32" x14ac:dyDescent="0.2">
      <c r="AE489" s="308"/>
      <c r="AF489" s="46"/>
    </row>
  </sheetData>
  <sortState xmlns:xlrd2="http://schemas.microsoft.com/office/spreadsheetml/2017/richdata2" ref="A13:O140">
    <sortCondition ref="B13:B140"/>
  </sortState>
  <mergeCells count="5">
    <mergeCell ref="A8:B8"/>
    <mergeCell ref="A150:O150"/>
    <mergeCell ref="A151:O151"/>
    <mergeCell ref="A152:O152"/>
    <mergeCell ref="A153:O153"/>
  </mergeCells>
  <hyperlinks>
    <hyperlink ref="A8" location="Contents!A1" display="Return to Contents" xr:uid="{3EB0D14E-D628-49B3-A5F5-42AB40CA7EC2}"/>
  </hyperlinks>
  <pageMargins left="0.75" right="0.75" top="1" bottom="1" header="0.5" footer="0.5"/>
  <pageSetup paperSize="9" scale="37" fitToHeight="0" orientation="portrait" horizontalDpi="1200" verticalDpi="1200" r:id="rId1"/>
  <headerFooter alignWithMargins="0"/>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Y37"/>
  <sheetViews>
    <sheetView showGridLines="0" zoomScaleNormal="100" workbookViewId="0">
      <selection activeCell="A10" sqref="A10"/>
    </sheetView>
  </sheetViews>
  <sheetFormatPr defaultColWidth="9.140625" defaultRowHeight="12.75" x14ac:dyDescent="0.2"/>
  <cols>
    <col min="1" max="1" width="14.140625" style="1" customWidth="1"/>
    <col min="2" max="9" width="16.140625" style="1" customWidth="1"/>
    <col min="10" max="16384" width="9.140625" style="1"/>
  </cols>
  <sheetData>
    <row r="1" spans="1:25" s="7" customFormat="1" ht="12.75" customHeight="1" x14ac:dyDescent="0.2">
      <c r="D1" s="9"/>
      <c r="H1" s="9"/>
      <c r="Y1" s="8"/>
    </row>
    <row r="2" spans="1:25" s="7" customFormat="1" ht="12.75" customHeight="1" x14ac:dyDescent="0.2">
      <c r="D2" s="9"/>
      <c r="H2" s="9"/>
      <c r="Y2" s="8"/>
    </row>
    <row r="3" spans="1:25" s="7" customFormat="1" ht="12.75" customHeight="1" x14ac:dyDescent="0.2">
      <c r="D3" s="9"/>
      <c r="H3" s="9"/>
      <c r="Y3" s="8"/>
    </row>
    <row r="4" spans="1:25" s="7" customFormat="1" ht="12.75" customHeight="1" x14ac:dyDescent="0.2">
      <c r="D4" s="9"/>
      <c r="H4" s="9"/>
      <c r="Y4" s="8"/>
    </row>
    <row r="5" spans="1:25" s="7" customFormat="1" ht="12.75" customHeight="1" x14ac:dyDescent="0.2">
      <c r="D5" s="9"/>
      <c r="H5" s="9"/>
      <c r="Y5" s="8"/>
    </row>
    <row r="6" spans="1:25" s="7" customFormat="1" ht="12.75" customHeight="1" x14ac:dyDescent="0.2">
      <c r="D6" s="9"/>
      <c r="H6" s="9"/>
      <c r="Y6" s="8"/>
    </row>
    <row r="7" spans="1:25" ht="12.75" customHeight="1" x14ac:dyDescent="0.2"/>
    <row r="8" spans="1:25" ht="14.25" customHeight="1" x14ac:dyDescent="0.2">
      <c r="A8" s="376" t="s">
        <v>193</v>
      </c>
      <c r="B8" s="376"/>
      <c r="C8" s="17"/>
      <c r="F8" s="17"/>
      <c r="G8" s="17"/>
    </row>
    <row r="9" spans="1:25" ht="12.75" customHeight="1" x14ac:dyDescent="0.2"/>
    <row r="10" spans="1:25" ht="22.5" customHeight="1" x14ac:dyDescent="0.2">
      <c r="A10" s="134" t="s">
        <v>221</v>
      </c>
      <c r="B10" s="134"/>
    </row>
    <row r="11" spans="1:25" x14ac:dyDescent="0.2">
      <c r="A11" s="2"/>
    </row>
    <row r="12" spans="1:25" x14ac:dyDescent="0.2">
      <c r="A12" s="7"/>
      <c r="B12" s="373" t="s">
        <v>265</v>
      </c>
      <c r="C12" s="374"/>
      <c r="D12" s="374"/>
      <c r="E12" s="375"/>
      <c r="F12" s="373" t="s">
        <v>538</v>
      </c>
      <c r="G12" s="374"/>
      <c r="H12" s="374"/>
      <c r="I12" s="375"/>
    </row>
    <row r="13" spans="1:25" x14ac:dyDescent="0.2">
      <c r="A13" s="2"/>
      <c r="B13" s="369" t="s">
        <v>28</v>
      </c>
      <c r="C13" s="370"/>
      <c r="D13" s="371" t="s">
        <v>27</v>
      </c>
      <c r="E13" s="372"/>
      <c r="F13" s="369" t="s">
        <v>28</v>
      </c>
      <c r="G13" s="370"/>
      <c r="H13" s="371" t="s">
        <v>27</v>
      </c>
      <c r="I13" s="372"/>
    </row>
    <row r="14" spans="1:25" ht="38.25" x14ac:dyDescent="0.2">
      <c r="A14" s="59" t="s">
        <v>26</v>
      </c>
      <c r="B14" s="66" t="s">
        <v>15</v>
      </c>
      <c r="C14" s="55" t="s">
        <v>14</v>
      </c>
      <c r="D14" s="53" t="s">
        <v>15</v>
      </c>
      <c r="E14" s="55" t="s">
        <v>14</v>
      </c>
      <c r="F14" s="61" t="s">
        <v>15</v>
      </c>
      <c r="G14" s="57" t="s">
        <v>14</v>
      </c>
      <c r="H14" s="56" t="s">
        <v>15</v>
      </c>
      <c r="I14" s="57" t="s">
        <v>14</v>
      </c>
    </row>
    <row r="15" spans="1:25" x14ac:dyDescent="0.2">
      <c r="A15" s="85" t="s">
        <v>25</v>
      </c>
      <c r="B15" s="108">
        <v>37043</v>
      </c>
      <c r="C15" s="171">
        <v>0.15567490785918109</v>
      </c>
      <c r="D15" s="110">
        <v>28860</v>
      </c>
      <c r="E15" s="171">
        <v>0.12128547474059785</v>
      </c>
      <c r="F15" s="108">
        <v>36269</v>
      </c>
      <c r="G15" s="171">
        <v>0.15357092953834298</v>
      </c>
      <c r="H15" s="110">
        <v>28772</v>
      </c>
      <c r="I15" s="171">
        <v>0.12182698129744973</v>
      </c>
    </row>
    <row r="16" spans="1:25" x14ac:dyDescent="0.2">
      <c r="A16" s="85" t="s">
        <v>24</v>
      </c>
      <c r="B16" s="109">
        <v>39395</v>
      </c>
      <c r="C16" s="173">
        <v>0.1655592958214086</v>
      </c>
      <c r="D16" s="111">
        <v>36188</v>
      </c>
      <c r="E16" s="173">
        <v>0.15208173111270809</v>
      </c>
      <c r="F16" s="109">
        <v>39384</v>
      </c>
      <c r="G16" s="173">
        <v>0.16676052521266371</v>
      </c>
      <c r="H16" s="111">
        <v>36033</v>
      </c>
      <c r="I16" s="173">
        <v>0.15257165358998354</v>
      </c>
    </row>
    <row r="17" spans="1:12" x14ac:dyDescent="0.2">
      <c r="A17" s="85" t="s">
        <v>23</v>
      </c>
      <c r="B17" s="109">
        <v>40316</v>
      </c>
      <c r="C17" s="173">
        <v>0.16942984059743393</v>
      </c>
      <c r="D17" s="111">
        <v>38563</v>
      </c>
      <c r="E17" s="173">
        <v>0.16206277763068866</v>
      </c>
      <c r="F17" s="109">
        <v>39671</v>
      </c>
      <c r="G17" s="173">
        <v>0.16797574638715168</v>
      </c>
      <c r="H17" s="111">
        <v>38347</v>
      </c>
      <c r="I17" s="173">
        <v>0.16236963894805034</v>
      </c>
    </row>
    <row r="18" spans="1:12" x14ac:dyDescent="0.2">
      <c r="A18" s="85" t="s">
        <v>22</v>
      </c>
      <c r="B18" s="109">
        <v>39469</v>
      </c>
      <c r="C18" s="173">
        <v>0.16587028421817937</v>
      </c>
      <c r="D18" s="111">
        <v>39736</v>
      </c>
      <c r="E18" s="173">
        <v>0.1669923639740955</v>
      </c>
      <c r="F18" s="109">
        <v>38769</v>
      </c>
      <c r="G18" s="173">
        <v>0.16415647983876089</v>
      </c>
      <c r="H18" s="111">
        <v>39226</v>
      </c>
      <c r="I18" s="173">
        <v>0.16609151843367728</v>
      </c>
    </row>
    <row r="19" spans="1:12" x14ac:dyDescent="0.2">
      <c r="A19" s="85" t="s">
        <v>21</v>
      </c>
      <c r="B19" s="109">
        <v>36410</v>
      </c>
      <c r="C19" s="173">
        <v>0.15301469630302036</v>
      </c>
      <c r="D19" s="111">
        <v>40750</v>
      </c>
      <c r="E19" s="173">
        <v>0.17125374551903544</v>
      </c>
      <c r="F19" s="109">
        <v>36257</v>
      </c>
      <c r="G19" s="173">
        <v>0.15352011889690098</v>
      </c>
      <c r="H19" s="111">
        <v>39902</v>
      </c>
      <c r="I19" s="173">
        <v>0.1689538512349103</v>
      </c>
    </row>
    <row r="20" spans="1:12" x14ac:dyDescent="0.2">
      <c r="A20" s="85" t="s">
        <v>20</v>
      </c>
      <c r="B20" s="109">
        <v>23623</v>
      </c>
      <c r="C20" s="173">
        <v>9.927674185021286E-2</v>
      </c>
      <c r="D20" s="111">
        <v>30372</v>
      </c>
      <c r="E20" s="173">
        <v>0.12763972414488697</v>
      </c>
      <c r="F20" s="109">
        <v>23679</v>
      </c>
      <c r="G20" s="173">
        <v>0.10026209822543834</v>
      </c>
      <c r="H20" s="111">
        <v>30225</v>
      </c>
      <c r="I20" s="173">
        <v>0.12797930313205264</v>
      </c>
    </row>
    <row r="21" spans="1:12" x14ac:dyDescent="0.2">
      <c r="A21" s="85" t="s">
        <v>19</v>
      </c>
      <c r="B21" s="109">
        <v>21695</v>
      </c>
      <c r="C21" s="173">
        <v>9.1174233350563766E-2</v>
      </c>
      <c r="D21" s="111">
        <v>23482</v>
      </c>
      <c r="E21" s="173">
        <v>9.8684182877987484E-2</v>
      </c>
      <c r="F21" s="109">
        <v>22142</v>
      </c>
      <c r="G21" s="173">
        <v>9.3754101900741418E-2</v>
      </c>
      <c r="H21" s="111">
        <v>23666</v>
      </c>
      <c r="I21" s="173">
        <v>0.10020705336387617</v>
      </c>
    </row>
    <row r="22" spans="1:12" x14ac:dyDescent="0.2">
      <c r="A22" s="60" t="s">
        <v>1</v>
      </c>
      <c r="B22" s="112">
        <v>237951</v>
      </c>
      <c r="C22" s="281">
        <v>1</v>
      </c>
      <c r="D22" s="113">
        <v>237951</v>
      </c>
      <c r="E22" s="281">
        <v>1</v>
      </c>
      <c r="F22" s="112">
        <v>236171</v>
      </c>
      <c r="G22" s="281">
        <v>1</v>
      </c>
      <c r="H22" s="113">
        <v>236171</v>
      </c>
      <c r="I22" s="281">
        <v>1</v>
      </c>
    </row>
    <row r="23" spans="1:12" x14ac:dyDescent="0.2">
      <c r="I23" s="172"/>
    </row>
    <row r="24" spans="1:12" s="71" customFormat="1" x14ac:dyDescent="0.2">
      <c r="A24" s="328" t="s">
        <v>539</v>
      </c>
      <c r="B24" s="70"/>
      <c r="C24" s="70"/>
      <c r="D24" s="70"/>
      <c r="E24" s="70"/>
      <c r="F24" s="70"/>
      <c r="L24" s="1"/>
    </row>
    <row r="25" spans="1:12" s="71" customFormat="1" x14ac:dyDescent="0.2">
      <c r="A25" s="69"/>
      <c r="B25" s="70"/>
      <c r="C25" s="70"/>
      <c r="D25" s="70"/>
      <c r="E25" s="70"/>
      <c r="F25" s="70"/>
      <c r="L25" s="1"/>
    </row>
    <row r="26" spans="1:12" x14ac:dyDescent="0.2">
      <c r="A26" s="2" t="s">
        <v>202</v>
      </c>
    </row>
    <row r="27" spans="1:12" ht="27" customHeight="1" x14ac:dyDescent="0.2">
      <c r="A27" s="359" t="s">
        <v>546</v>
      </c>
      <c r="B27" s="359"/>
      <c r="C27" s="359"/>
      <c r="D27" s="359"/>
      <c r="E27" s="359"/>
    </row>
    <row r="28" spans="1:12" ht="25.5" customHeight="1" x14ac:dyDescent="0.2">
      <c r="A28" s="356" t="s">
        <v>207</v>
      </c>
      <c r="B28" s="356"/>
      <c r="C28" s="356"/>
      <c r="D28" s="356"/>
      <c r="E28" s="356"/>
    </row>
    <row r="29" spans="1:12" ht="25.5" customHeight="1" x14ac:dyDescent="0.2">
      <c r="A29" s="377"/>
      <c r="B29" s="377"/>
      <c r="C29" s="377"/>
      <c r="D29" s="377"/>
      <c r="E29" s="377"/>
      <c r="F29" s="17"/>
    </row>
    <row r="30" spans="1:12" x14ac:dyDescent="0.2">
      <c r="D30" s="31"/>
      <c r="H30" s="31"/>
    </row>
    <row r="31" spans="1:12" x14ac:dyDescent="0.2">
      <c r="D31" s="31"/>
      <c r="H31" s="31"/>
    </row>
    <row r="32" spans="1:12" x14ac:dyDescent="0.2">
      <c r="D32" s="31"/>
      <c r="H32" s="31"/>
    </row>
    <row r="33" spans="4:8" x14ac:dyDescent="0.2">
      <c r="D33" s="31"/>
      <c r="H33" s="31"/>
    </row>
    <row r="34" spans="4:8" x14ac:dyDescent="0.2">
      <c r="D34" s="31"/>
      <c r="H34" s="31"/>
    </row>
    <row r="35" spans="4:8" x14ac:dyDescent="0.2">
      <c r="D35" s="31"/>
      <c r="H35" s="31"/>
    </row>
    <row r="36" spans="4:8" x14ac:dyDescent="0.2">
      <c r="D36" s="31"/>
      <c r="H36" s="31"/>
    </row>
    <row r="37" spans="4:8" x14ac:dyDescent="0.2">
      <c r="D37" s="31"/>
      <c r="H37" s="31"/>
    </row>
  </sheetData>
  <mergeCells count="10">
    <mergeCell ref="A8:B8"/>
    <mergeCell ref="A29:E29"/>
    <mergeCell ref="A27:E27"/>
    <mergeCell ref="A28:E28"/>
    <mergeCell ref="B12:E12"/>
    <mergeCell ref="F13:G13"/>
    <mergeCell ref="H13:I13"/>
    <mergeCell ref="B13:C13"/>
    <mergeCell ref="D13:E13"/>
    <mergeCell ref="F12:I12"/>
  </mergeCells>
  <hyperlinks>
    <hyperlink ref="A8" location="Contents!A1" display="Return to Contents" xr:uid="{00000000-0004-0000-0500-000000000000}"/>
  </hyperlinks>
  <pageMargins left="0.75" right="0.75" top="1" bottom="1" header="0.5" footer="0.5"/>
  <pageSetup paperSize="9" scale="89" orientation="landscape" r:id="rId1"/>
  <headerFooter alignWithMargins="0"/>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K33"/>
  <sheetViews>
    <sheetView showGridLines="0" zoomScaleNormal="100" workbookViewId="0">
      <selection activeCell="A10" sqref="A10"/>
    </sheetView>
  </sheetViews>
  <sheetFormatPr defaultColWidth="9.140625" defaultRowHeight="12.75" x14ac:dyDescent="0.2"/>
  <cols>
    <col min="1" max="1" width="24.42578125" style="7" customWidth="1"/>
    <col min="2" max="2" width="21.85546875" style="7" bestFit="1" customWidth="1"/>
    <col min="3" max="3" width="17.140625" style="7" bestFit="1" customWidth="1"/>
    <col min="4" max="4" width="21.85546875" style="7" bestFit="1" customWidth="1"/>
    <col min="5" max="5" width="17.140625" style="7" bestFit="1" customWidth="1"/>
    <col min="6" max="11" width="13.5703125" style="7" customWidth="1"/>
    <col min="12" max="16384" width="9.140625" style="7"/>
  </cols>
  <sheetData>
    <row r="1" spans="1:11" ht="12.75" customHeight="1" x14ac:dyDescent="0.2">
      <c r="F1" s="9"/>
      <c r="J1" s="9"/>
    </row>
    <row r="2" spans="1:11" ht="12.75" customHeight="1" x14ac:dyDescent="0.2">
      <c r="F2" s="9"/>
      <c r="J2" s="9"/>
    </row>
    <row r="3" spans="1:11" ht="12.75" customHeight="1" x14ac:dyDescent="0.2">
      <c r="F3" s="9"/>
      <c r="J3" s="9"/>
    </row>
    <row r="4" spans="1:11" ht="12.75" customHeight="1" x14ac:dyDescent="0.2">
      <c r="F4" s="9"/>
      <c r="J4" s="9"/>
    </row>
    <row r="5" spans="1:11" ht="12.75" customHeight="1" x14ac:dyDescent="0.2">
      <c r="F5" s="9"/>
      <c r="J5" s="9"/>
    </row>
    <row r="6" spans="1:11" ht="12.75" customHeight="1" x14ac:dyDescent="0.2">
      <c r="F6" s="9"/>
      <c r="J6" s="9"/>
    </row>
    <row r="7" spans="1:11" ht="12.75" customHeight="1" x14ac:dyDescent="0.2">
      <c r="A7" s="1"/>
      <c r="B7" s="1"/>
      <c r="C7" s="1"/>
      <c r="D7" s="1"/>
      <c r="E7" s="1"/>
      <c r="F7" s="1"/>
      <c r="G7" s="1"/>
      <c r="H7" s="1"/>
      <c r="I7" s="1"/>
      <c r="J7" s="1"/>
      <c r="K7" s="1"/>
    </row>
    <row r="8" spans="1:11" ht="14.25" customHeight="1" x14ac:dyDescent="0.2">
      <c r="A8" s="39" t="s">
        <v>193</v>
      </c>
    </row>
    <row r="9" spans="1:11" ht="12.75" customHeight="1" x14ac:dyDescent="0.2">
      <c r="A9" s="1"/>
      <c r="B9" s="1"/>
      <c r="C9" s="1"/>
      <c r="D9" s="1"/>
      <c r="E9" s="1"/>
      <c r="F9" s="1"/>
      <c r="G9" s="1"/>
      <c r="H9" s="1"/>
      <c r="I9" s="1"/>
      <c r="J9" s="1"/>
      <c r="K9" s="1"/>
    </row>
    <row r="10" spans="1:11" ht="22.5" customHeight="1" x14ac:dyDescent="0.2">
      <c r="A10" s="133" t="s">
        <v>219</v>
      </c>
      <c r="B10" s="2"/>
      <c r="C10" s="1"/>
      <c r="D10" s="1"/>
      <c r="E10" s="1"/>
      <c r="F10" s="1"/>
      <c r="G10" s="1"/>
      <c r="H10" s="1"/>
      <c r="I10" s="1"/>
      <c r="J10" s="1"/>
      <c r="K10" s="1"/>
    </row>
    <row r="11" spans="1:11" x14ac:dyDescent="0.2">
      <c r="A11" s="2"/>
      <c r="B11" s="2"/>
      <c r="C11" s="1"/>
      <c r="D11" s="1"/>
      <c r="E11" s="1"/>
      <c r="F11" s="1"/>
      <c r="G11" s="1"/>
      <c r="H11" s="1"/>
      <c r="I11" s="1"/>
      <c r="J11" s="1"/>
      <c r="K11" s="1"/>
    </row>
    <row r="12" spans="1:11" x14ac:dyDescent="0.2">
      <c r="B12" s="373" t="s">
        <v>265</v>
      </c>
      <c r="C12" s="375"/>
      <c r="D12" s="373" t="s">
        <v>538</v>
      </c>
      <c r="E12" s="375"/>
      <c r="F12" s="12"/>
      <c r="G12" s="12"/>
      <c r="H12" s="12"/>
      <c r="I12" s="12"/>
      <c r="J12" s="309"/>
      <c r="K12" s="309"/>
    </row>
    <row r="13" spans="1:11" ht="38.25" x14ac:dyDescent="0.2">
      <c r="A13" s="154" t="s">
        <v>194</v>
      </c>
      <c r="B13" s="182" t="s">
        <v>15</v>
      </c>
      <c r="C13" s="183" t="s">
        <v>30</v>
      </c>
      <c r="D13" s="184" t="s">
        <v>15</v>
      </c>
      <c r="E13" s="183" t="s">
        <v>30</v>
      </c>
    </row>
    <row r="14" spans="1:11" x14ac:dyDescent="0.2">
      <c r="A14" s="139" t="s">
        <v>239</v>
      </c>
      <c r="B14" s="176">
        <v>25251</v>
      </c>
      <c r="C14" s="177">
        <v>5</v>
      </c>
      <c r="D14" s="176">
        <v>25504</v>
      </c>
      <c r="E14" s="177">
        <v>4.9000000000000004</v>
      </c>
    </row>
    <row r="15" spans="1:11" x14ac:dyDescent="0.2">
      <c r="A15" s="139" t="s">
        <v>240</v>
      </c>
      <c r="B15" s="178">
        <v>25383</v>
      </c>
      <c r="C15" s="179">
        <v>5.0999999999999996</v>
      </c>
      <c r="D15" s="178">
        <v>25099</v>
      </c>
      <c r="E15" s="179">
        <v>4.9000000000000004</v>
      </c>
    </row>
    <row r="16" spans="1:11" x14ac:dyDescent="0.2">
      <c r="A16" s="139" t="s">
        <v>241</v>
      </c>
      <c r="B16" s="178">
        <v>25177</v>
      </c>
      <c r="C16" s="179">
        <v>5</v>
      </c>
      <c r="D16" s="178">
        <v>24849</v>
      </c>
      <c r="E16" s="179">
        <v>4.9000000000000004</v>
      </c>
    </row>
    <row r="17" spans="1:9" x14ac:dyDescent="0.2">
      <c r="A17" s="139" t="s">
        <v>242</v>
      </c>
      <c r="B17" s="178">
        <v>23376</v>
      </c>
      <c r="C17" s="179">
        <v>4.9000000000000004</v>
      </c>
      <c r="D17" s="178">
        <v>23506</v>
      </c>
      <c r="E17" s="179">
        <v>4.9000000000000004</v>
      </c>
    </row>
    <row r="18" spans="1:9" x14ac:dyDescent="0.2">
      <c r="A18" s="139" t="s">
        <v>243</v>
      </c>
      <c r="B18" s="178">
        <v>22679</v>
      </c>
      <c r="C18" s="179">
        <v>4.8</v>
      </c>
      <c r="D18" s="178">
        <v>22544</v>
      </c>
      <c r="E18" s="179">
        <v>4.8</v>
      </c>
    </row>
    <row r="19" spans="1:9" x14ac:dyDescent="0.2">
      <c r="A19" s="139" t="s">
        <v>244</v>
      </c>
      <c r="B19" s="178">
        <v>22686</v>
      </c>
      <c r="C19" s="179">
        <v>4.7</v>
      </c>
      <c r="D19" s="178">
        <v>21789</v>
      </c>
      <c r="E19" s="179">
        <v>4.5999999999999996</v>
      </c>
    </row>
    <row r="20" spans="1:9" x14ac:dyDescent="0.2">
      <c r="A20" s="139" t="s">
        <v>245</v>
      </c>
      <c r="B20" s="178">
        <v>21936</v>
      </c>
      <c r="C20" s="179">
        <v>4.5999999999999996</v>
      </c>
      <c r="D20" s="178">
        <v>21404</v>
      </c>
      <c r="E20" s="179">
        <v>4.5999999999999996</v>
      </c>
    </row>
    <row r="21" spans="1:9" x14ac:dyDescent="0.2">
      <c r="A21" s="139" t="s">
        <v>246</v>
      </c>
      <c r="B21" s="178">
        <v>21155</v>
      </c>
      <c r="C21" s="179">
        <v>4.5999999999999996</v>
      </c>
      <c r="D21" s="178">
        <v>21047</v>
      </c>
      <c r="E21" s="179">
        <v>4.3</v>
      </c>
    </row>
    <row r="22" spans="1:9" x14ac:dyDescent="0.2">
      <c r="A22" s="139" t="s">
        <v>247</v>
      </c>
      <c r="B22" s="178">
        <v>20497</v>
      </c>
      <c r="C22" s="179">
        <v>4.3</v>
      </c>
      <c r="D22" s="178">
        <v>20597</v>
      </c>
      <c r="E22" s="179">
        <v>4.4000000000000004</v>
      </c>
    </row>
    <row r="23" spans="1:9" x14ac:dyDescent="0.2">
      <c r="A23" s="139" t="s">
        <v>248</v>
      </c>
      <c r="B23" s="178">
        <v>19573</v>
      </c>
      <c r="C23" s="179">
        <v>4.3</v>
      </c>
      <c r="D23" s="178">
        <v>19478</v>
      </c>
      <c r="E23" s="179">
        <v>4.3</v>
      </c>
    </row>
    <row r="24" spans="1:9" x14ac:dyDescent="0.2">
      <c r="A24" s="149" t="s">
        <v>163</v>
      </c>
      <c r="B24" s="180">
        <v>10238</v>
      </c>
      <c r="C24" s="181">
        <v>5</v>
      </c>
      <c r="D24" s="180">
        <v>10354</v>
      </c>
      <c r="E24" s="181">
        <v>5.0999999999999996</v>
      </c>
      <c r="G24" s="270"/>
    </row>
    <row r="26" spans="1:9" x14ac:dyDescent="0.2">
      <c r="A26" s="328" t="s">
        <v>539</v>
      </c>
    </row>
    <row r="28" spans="1:9" x14ac:dyDescent="0.2">
      <c r="A28" s="2" t="s">
        <v>202</v>
      </c>
    </row>
    <row r="29" spans="1:9" ht="39" customHeight="1" x14ac:dyDescent="0.2">
      <c r="A29" s="366" t="s">
        <v>200</v>
      </c>
      <c r="B29" s="366"/>
      <c r="C29" s="366"/>
      <c r="D29" s="366"/>
      <c r="E29" s="366"/>
    </row>
    <row r="30" spans="1:9" ht="12.75" customHeight="1" x14ac:dyDescent="0.2">
      <c r="A30" s="378" t="s">
        <v>199</v>
      </c>
      <c r="B30" s="378"/>
      <c r="C30" s="378"/>
      <c r="D30" s="378"/>
      <c r="E30" s="378"/>
    </row>
    <row r="31" spans="1:9" ht="25.5" customHeight="1" x14ac:dyDescent="0.2">
      <c r="A31" s="359" t="s">
        <v>208</v>
      </c>
      <c r="B31" s="359"/>
      <c r="C31" s="359"/>
      <c r="D31" s="359"/>
      <c r="E31" s="359"/>
      <c r="F31" s="11"/>
      <c r="G31" s="11"/>
      <c r="H31" s="11"/>
      <c r="I31" s="11"/>
    </row>
    <row r="32" spans="1:9" ht="25.5" customHeight="1" x14ac:dyDescent="0.2">
      <c r="A32" s="360" t="s">
        <v>204</v>
      </c>
      <c r="B32" s="360"/>
      <c r="C32" s="360"/>
      <c r="D32" s="360"/>
      <c r="E32" s="360"/>
      <c r="F32" s="11"/>
      <c r="G32" s="11"/>
      <c r="H32" s="11"/>
      <c r="I32" s="11"/>
    </row>
    <row r="33" spans="1:9" ht="25.5" customHeight="1" x14ac:dyDescent="0.2">
      <c r="A33" s="377"/>
      <c r="B33" s="377"/>
      <c r="C33" s="377"/>
      <c r="D33" s="377"/>
      <c r="E33" s="377"/>
      <c r="F33" s="11"/>
      <c r="G33" s="11"/>
      <c r="H33" s="11"/>
      <c r="I33" s="11"/>
    </row>
  </sheetData>
  <mergeCells count="7">
    <mergeCell ref="A33:E33"/>
    <mergeCell ref="B12:C12"/>
    <mergeCell ref="A31:E31"/>
    <mergeCell ref="A32:E32"/>
    <mergeCell ref="A29:E29"/>
    <mergeCell ref="A30:E30"/>
    <mergeCell ref="D12:E12"/>
  </mergeCells>
  <hyperlinks>
    <hyperlink ref="A30:E30" r:id="rId1" display="(Department of Communities and Local Government: http://www.gov.uk/government/organisations/department-for-communities-and-local-government/series/english-indices-of-deprivation)" xr:uid="{00000000-0004-0000-0600-000000000000}"/>
    <hyperlink ref="A8" location="Contents!A1" display="Return to Contents" xr:uid="{00000000-0004-0000-0600-000001000000}"/>
  </hyperlinks>
  <pageMargins left="0.7" right="0.7" top="0.75" bottom="0.75" header="0.3" footer="0.3"/>
  <pageSetup paperSize="9" orientation="landscape" r:id="rId2"/>
  <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Y31"/>
  <sheetViews>
    <sheetView showGridLines="0" zoomScaleNormal="100" workbookViewId="0">
      <selection activeCell="A10" sqref="A10"/>
    </sheetView>
  </sheetViews>
  <sheetFormatPr defaultColWidth="9.140625" defaultRowHeight="12.75" x14ac:dyDescent="0.2"/>
  <cols>
    <col min="1" max="1" width="45.140625" style="1" bestFit="1" customWidth="1"/>
    <col min="2" max="5" width="18.85546875" style="1" customWidth="1"/>
    <col min="6" max="7" width="9.140625" style="1" customWidth="1"/>
    <col min="8" max="8" width="46.42578125" style="1" bestFit="1" customWidth="1"/>
    <col min="9" max="10" width="9.140625" style="1" customWidth="1"/>
    <col min="11" max="11" width="46.42578125" style="1" bestFit="1" customWidth="1"/>
    <col min="12" max="12" width="22.42578125" style="1" bestFit="1" customWidth="1"/>
    <col min="13" max="13" width="7.85546875" style="1" bestFit="1" customWidth="1"/>
    <col min="14" max="16384" width="9.140625" style="1"/>
  </cols>
  <sheetData>
    <row r="1" spans="1:25" s="7" customFormat="1" ht="12.75" customHeight="1" x14ac:dyDescent="0.2">
      <c r="F1" s="9"/>
      <c r="Y1" s="8"/>
    </row>
    <row r="2" spans="1:25" s="7" customFormat="1" ht="12.75" customHeight="1" x14ac:dyDescent="0.2">
      <c r="F2" s="9"/>
      <c r="Y2" s="8"/>
    </row>
    <row r="3" spans="1:25" s="7" customFormat="1" ht="12.75" customHeight="1" x14ac:dyDescent="0.2">
      <c r="F3" s="9"/>
      <c r="Y3" s="8"/>
    </row>
    <row r="4" spans="1:25" s="7" customFormat="1" ht="12.75" customHeight="1" x14ac:dyDescent="0.2">
      <c r="F4" s="9"/>
      <c r="Y4" s="8"/>
    </row>
    <row r="5" spans="1:25" s="7" customFormat="1" ht="12.75" customHeight="1" x14ac:dyDescent="0.2">
      <c r="F5" s="9"/>
      <c r="Y5" s="8"/>
    </row>
    <row r="6" spans="1:25" s="7" customFormat="1" ht="12.75" customHeight="1" x14ac:dyDescent="0.2">
      <c r="F6" s="9"/>
      <c r="Y6" s="8"/>
    </row>
    <row r="7" spans="1:25" ht="12.75" customHeight="1" x14ac:dyDescent="0.2"/>
    <row r="8" spans="1:25" ht="14.25" customHeight="1" x14ac:dyDescent="0.2">
      <c r="A8" s="39" t="s">
        <v>193</v>
      </c>
    </row>
    <row r="9" spans="1:25" ht="12.75" customHeight="1" x14ac:dyDescent="0.2"/>
    <row r="10" spans="1:25" ht="22.5" customHeight="1" x14ac:dyDescent="0.2">
      <c r="A10" s="133" t="s">
        <v>218</v>
      </c>
    </row>
    <row r="11" spans="1:25" x14ac:dyDescent="0.2">
      <c r="A11" s="2"/>
      <c r="H11" s="159"/>
    </row>
    <row r="12" spans="1:25" x14ac:dyDescent="0.2">
      <c r="B12" s="357" t="s">
        <v>265</v>
      </c>
      <c r="C12" s="358"/>
      <c r="D12" s="357" t="s">
        <v>538</v>
      </c>
      <c r="E12" s="358"/>
      <c r="H12" s="159"/>
      <c r="J12" s="159"/>
    </row>
    <row r="13" spans="1:25" ht="38.25" x14ac:dyDescent="0.2">
      <c r="A13" s="316" t="s">
        <v>41</v>
      </c>
      <c r="B13" s="66" t="s">
        <v>15</v>
      </c>
      <c r="C13" s="55" t="s">
        <v>14</v>
      </c>
      <c r="D13" s="66" t="s">
        <v>15</v>
      </c>
      <c r="E13" s="55" t="s">
        <v>14</v>
      </c>
      <c r="G13" s="159"/>
      <c r="H13" s="159"/>
      <c r="J13" s="159"/>
    </row>
    <row r="14" spans="1:25" x14ac:dyDescent="0.2">
      <c r="A14" s="317" t="s">
        <v>40</v>
      </c>
      <c r="B14" s="109">
        <v>101602</v>
      </c>
      <c r="C14" s="115">
        <v>0.58331276086369921</v>
      </c>
      <c r="D14" s="159">
        <v>98874</v>
      </c>
      <c r="E14" s="115">
        <v>0.59844568993693181</v>
      </c>
      <c r="F14" s="295"/>
      <c r="G14" s="159"/>
      <c r="H14" s="159"/>
      <c r="J14" s="159"/>
      <c r="K14" s="159"/>
    </row>
    <row r="15" spans="1:25" x14ac:dyDescent="0.2">
      <c r="A15" s="317" t="s">
        <v>39</v>
      </c>
      <c r="B15" s="104">
        <v>50338</v>
      </c>
      <c r="C15" s="115">
        <v>0.2889982259833162</v>
      </c>
      <c r="D15" s="95">
        <v>43773</v>
      </c>
      <c r="E15" s="115">
        <v>0.26494086600733574</v>
      </c>
      <c r="F15" s="295"/>
      <c r="G15" s="159"/>
      <c r="H15" s="159"/>
      <c r="J15" s="159"/>
      <c r="K15" s="159"/>
    </row>
    <row r="16" spans="1:25" x14ac:dyDescent="0.2">
      <c r="A16" s="317" t="s">
        <v>37</v>
      </c>
      <c r="B16" s="104">
        <v>6799</v>
      </c>
      <c r="C16" s="115">
        <v>3.9034108197794251E-2</v>
      </c>
      <c r="D16" s="95">
        <v>7664</v>
      </c>
      <c r="E16" s="115">
        <v>4.6387197520851242E-2</v>
      </c>
      <c r="F16" s="295"/>
      <c r="G16" s="159"/>
      <c r="H16" s="159"/>
      <c r="I16" s="159"/>
      <c r="J16" s="159"/>
      <c r="K16" s="159"/>
    </row>
    <row r="17" spans="1:13" x14ac:dyDescent="0.2">
      <c r="A17" s="317" t="s">
        <v>38</v>
      </c>
      <c r="B17" s="104">
        <v>3417</v>
      </c>
      <c r="C17" s="115">
        <v>1.9617524299435644E-2</v>
      </c>
      <c r="D17" s="95">
        <v>2726</v>
      </c>
      <c r="E17" s="115">
        <v>1.6499412896899854E-2</v>
      </c>
      <c r="F17" s="295"/>
      <c r="G17" s="159"/>
      <c r="H17" s="159"/>
      <c r="J17" s="159"/>
      <c r="K17" s="159"/>
    </row>
    <row r="18" spans="1:13" x14ac:dyDescent="0.2">
      <c r="A18" s="317" t="s">
        <v>36</v>
      </c>
      <c r="B18" s="104">
        <v>11222</v>
      </c>
      <c r="C18" s="115">
        <v>6.4427233739615689E-2</v>
      </c>
      <c r="D18" s="95">
        <v>11431</v>
      </c>
      <c r="E18" s="115">
        <v>6.918737667808593E-2</v>
      </c>
      <c r="F18" s="295"/>
      <c r="G18" s="159"/>
      <c r="H18" s="159"/>
      <c r="J18" s="159"/>
      <c r="K18" s="159"/>
    </row>
    <row r="19" spans="1:13" x14ac:dyDescent="0.2">
      <c r="A19" s="317" t="s">
        <v>35</v>
      </c>
      <c r="B19" s="104">
        <v>803</v>
      </c>
      <c r="C19" s="115">
        <v>4.6101469161389588E-3</v>
      </c>
      <c r="D19" s="95">
        <v>750</v>
      </c>
      <c r="E19" s="115">
        <v>4.5394569598954113E-3</v>
      </c>
      <c r="F19" s="295"/>
      <c r="G19" s="159"/>
      <c r="H19" s="159"/>
      <c r="J19" s="159"/>
      <c r="K19" s="159"/>
    </row>
    <row r="20" spans="1:13" x14ac:dyDescent="0.2">
      <c r="A20" s="94" t="s">
        <v>34</v>
      </c>
      <c r="B20" s="335">
        <f>SUM(B14:B19)</f>
        <v>174181</v>
      </c>
      <c r="C20" s="280">
        <v>1</v>
      </c>
      <c r="D20" s="335">
        <v>165218</v>
      </c>
      <c r="E20" s="280">
        <v>1</v>
      </c>
      <c r="F20" s="295"/>
      <c r="G20" s="159"/>
      <c r="H20" s="159"/>
      <c r="J20" s="159"/>
      <c r="K20" s="159"/>
    </row>
    <row r="21" spans="1:13" x14ac:dyDescent="0.2">
      <c r="A21" s="146" t="s">
        <v>33</v>
      </c>
      <c r="B21" s="344">
        <v>63770</v>
      </c>
      <c r="C21" s="68">
        <v>0.26799635219015677</v>
      </c>
      <c r="D21" s="339">
        <v>70953</v>
      </c>
      <c r="E21" s="68">
        <v>0.30043062018622102</v>
      </c>
      <c r="F21" s="295"/>
      <c r="G21" s="31"/>
      <c r="H21" s="159"/>
      <c r="J21" s="159"/>
      <c r="K21" s="159"/>
    </row>
    <row r="22" spans="1:13" x14ac:dyDescent="0.2">
      <c r="A22" s="318" t="s">
        <v>1</v>
      </c>
      <c r="B22" s="345">
        <v>237951</v>
      </c>
      <c r="C22" s="67">
        <v>1</v>
      </c>
      <c r="D22" s="340">
        <v>236171</v>
      </c>
      <c r="E22" s="67">
        <v>1</v>
      </c>
      <c r="F22" s="295"/>
      <c r="G22" s="31"/>
      <c r="H22" s="159"/>
      <c r="K22" s="159"/>
    </row>
    <row r="23" spans="1:13" x14ac:dyDescent="0.2">
      <c r="A23" s="13"/>
      <c r="B23" s="6"/>
      <c r="C23" s="5"/>
      <c r="D23" s="6"/>
      <c r="E23" s="5"/>
      <c r="H23" s="159"/>
      <c r="K23" s="159"/>
    </row>
    <row r="24" spans="1:13" s="71" customFormat="1" x14ac:dyDescent="0.2">
      <c r="A24" s="328" t="s">
        <v>539</v>
      </c>
      <c r="B24" s="70"/>
      <c r="C24" s="70"/>
      <c r="D24" s="70"/>
      <c r="E24" s="70"/>
      <c r="F24" s="70"/>
      <c r="H24" s="1"/>
      <c r="I24" s="1"/>
      <c r="J24" s="1"/>
      <c r="K24" s="1"/>
      <c r="L24" s="1"/>
      <c r="M24" s="1"/>
    </row>
    <row r="25" spans="1:13" x14ac:dyDescent="0.2">
      <c r="A25" s="13"/>
      <c r="B25" s="6"/>
      <c r="C25" s="5"/>
      <c r="D25" s="6"/>
      <c r="E25" s="5"/>
      <c r="H25" s="71"/>
      <c r="I25" s="71"/>
      <c r="J25" s="71"/>
      <c r="K25" s="71"/>
      <c r="L25" s="71"/>
      <c r="M25" s="71"/>
    </row>
    <row r="26" spans="1:13" x14ac:dyDescent="0.2">
      <c r="A26" s="2" t="s">
        <v>202</v>
      </c>
    </row>
    <row r="27" spans="1:13" x14ac:dyDescent="0.2">
      <c r="A27" s="1" t="s">
        <v>547</v>
      </c>
    </row>
    <row r="28" spans="1:13" x14ac:dyDescent="0.2">
      <c r="A28" s="1" t="s">
        <v>31</v>
      </c>
    </row>
    <row r="29" spans="1:13" ht="25.5" customHeight="1" x14ac:dyDescent="0.2">
      <c r="A29" s="359" t="s">
        <v>545</v>
      </c>
      <c r="B29" s="359"/>
      <c r="C29" s="359"/>
      <c r="D29" s="359"/>
      <c r="E29" s="359"/>
    </row>
    <row r="30" spans="1:13" ht="25.5" customHeight="1" x14ac:dyDescent="0.2">
      <c r="A30" s="360" t="s">
        <v>206</v>
      </c>
      <c r="B30" s="360"/>
      <c r="C30" s="360"/>
      <c r="D30" s="360"/>
      <c r="E30" s="360"/>
    </row>
    <row r="31" spans="1:13" ht="25.5" customHeight="1" x14ac:dyDescent="0.2">
      <c r="A31" s="356"/>
      <c r="B31" s="356"/>
      <c r="C31" s="356"/>
      <c r="D31" s="356"/>
      <c r="E31" s="356"/>
    </row>
  </sheetData>
  <mergeCells count="5">
    <mergeCell ref="A29:E29"/>
    <mergeCell ref="A30:E30"/>
    <mergeCell ref="D12:E12"/>
    <mergeCell ref="B12:C12"/>
    <mergeCell ref="A31:E31"/>
  </mergeCells>
  <hyperlinks>
    <hyperlink ref="A8" location="Contents!A1" display="Return to Contents" xr:uid="{00000000-0004-0000-0700-000000000000}"/>
  </hyperlinks>
  <pageMargins left="0.75" right="0.75" top="1" bottom="1" header="0.5" footer="0.5"/>
  <pageSetup paperSize="9" orientation="landscape" r:id="rId1"/>
  <headerFooter alignWithMargins="0"/>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Y32"/>
  <sheetViews>
    <sheetView showGridLines="0" zoomScaleNormal="100" workbookViewId="0">
      <selection activeCell="A10" sqref="A10"/>
    </sheetView>
  </sheetViews>
  <sheetFormatPr defaultColWidth="9.140625" defaultRowHeight="12.75" x14ac:dyDescent="0.2"/>
  <cols>
    <col min="1" max="1" width="62.85546875" style="1" customWidth="1"/>
    <col min="2" max="2" width="17.140625" style="1" customWidth="1"/>
    <col min="3" max="3" width="19.5703125" style="1" customWidth="1"/>
    <col min="4" max="4" width="17.140625" style="1" customWidth="1"/>
    <col min="5" max="5" width="19" style="1" customWidth="1"/>
    <col min="6" max="6" width="9" style="1" customWidth="1"/>
    <col min="7" max="7" width="9.140625" style="1" customWidth="1"/>
    <col min="8" max="8" width="51.85546875" style="1" bestFit="1" customWidth="1"/>
    <col min="9" max="9" width="8.140625" style="1" bestFit="1" customWidth="1"/>
    <col min="10" max="10" width="7.85546875" style="1" bestFit="1" customWidth="1"/>
    <col min="11" max="16384" width="9.140625" style="1"/>
  </cols>
  <sheetData>
    <row r="1" spans="1:25" s="7" customFormat="1" ht="12.75" customHeight="1" x14ac:dyDescent="0.2">
      <c r="F1" s="9"/>
      <c r="Y1" s="8"/>
    </row>
    <row r="2" spans="1:25" s="7" customFormat="1" ht="12.75" customHeight="1" x14ac:dyDescent="0.2">
      <c r="F2" s="9"/>
      <c r="Y2" s="8"/>
    </row>
    <row r="3" spans="1:25" s="7" customFormat="1" ht="12.75" customHeight="1" x14ac:dyDescent="0.2">
      <c r="F3" s="9"/>
      <c r="Y3" s="8"/>
    </row>
    <row r="4" spans="1:25" s="7" customFormat="1" ht="12.75" customHeight="1" x14ac:dyDescent="0.2">
      <c r="F4" s="9"/>
      <c r="Y4" s="8"/>
    </row>
    <row r="5" spans="1:25" s="7" customFormat="1" ht="12.75" customHeight="1" x14ac:dyDescent="0.2">
      <c r="F5" s="9"/>
      <c r="H5" s="1"/>
      <c r="I5" s="1"/>
      <c r="Y5" s="8"/>
    </row>
    <row r="6" spans="1:25" s="7" customFormat="1" ht="12.75" customHeight="1" x14ac:dyDescent="0.2">
      <c r="F6" s="9"/>
      <c r="Y6" s="8"/>
    </row>
    <row r="7" spans="1:25" ht="12.75" customHeight="1" x14ac:dyDescent="0.2"/>
    <row r="8" spans="1:25" ht="14.25" customHeight="1" x14ac:dyDescent="0.2">
      <c r="A8" s="39" t="s">
        <v>193</v>
      </c>
      <c r="H8" s="7"/>
      <c r="I8" s="7"/>
    </row>
    <row r="9" spans="1:25" ht="12.75" customHeight="1" x14ac:dyDescent="0.2"/>
    <row r="10" spans="1:25" ht="22.5" customHeight="1" x14ac:dyDescent="0.2">
      <c r="A10" s="133" t="s">
        <v>217</v>
      </c>
    </row>
    <row r="11" spans="1:25" x14ac:dyDescent="0.2">
      <c r="A11" s="2"/>
      <c r="H11" s="17"/>
      <c r="I11" s="17"/>
      <c r="J11" s="17"/>
    </row>
    <row r="12" spans="1:25" x14ac:dyDescent="0.2">
      <c r="B12" s="361" t="s">
        <v>265</v>
      </c>
      <c r="C12" s="362"/>
      <c r="D12" s="361" t="s">
        <v>538</v>
      </c>
      <c r="E12" s="362"/>
    </row>
    <row r="13" spans="1:25" s="17" customFormat="1" ht="38.25" x14ac:dyDescent="0.2">
      <c r="A13" s="92" t="s">
        <v>47</v>
      </c>
      <c r="B13" s="61" t="s">
        <v>15</v>
      </c>
      <c r="C13" s="57" t="s">
        <v>14</v>
      </c>
      <c r="D13" s="61" t="s">
        <v>15</v>
      </c>
      <c r="E13" s="57" t="s">
        <v>14</v>
      </c>
    </row>
    <row r="14" spans="1:25" ht="15" x14ac:dyDescent="0.2">
      <c r="A14" s="310" t="s">
        <v>46</v>
      </c>
      <c r="B14" s="185">
        <v>165976</v>
      </c>
      <c r="C14" s="186">
        <v>0.94067239464079255</v>
      </c>
      <c r="D14" s="185">
        <v>165551</v>
      </c>
      <c r="E14" s="186">
        <v>0.9341342030424773</v>
      </c>
      <c r="F14" s="269"/>
      <c r="G14" s="271"/>
    </row>
    <row r="15" spans="1:25" ht="15" x14ac:dyDescent="0.2">
      <c r="A15" s="310" t="s">
        <v>45</v>
      </c>
      <c r="B15" s="187">
        <v>7356</v>
      </c>
      <c r="C15" s="188">
        <v>4.1690281335721252E-2</v>
      </c>
      <c r="D15" s="187">
        <v>8314</v>
      </c>
      <c r="E15" s="188">
        <v>4.6912382070148514E-2</v>
      </c>
      <c r="F15" s="269"/>
      <c r="G15" s="271"/>
    </row>
    <row r="16" spans="1:25" ht="15" x14ac:dyDescent="0.2">
      <c r="A16" s="310" t="s">
        <v>44</v>
      </c>
      <c r="B16" s="187">
        <v>2454</v>
      </c>
      <c r="C16" s="188">
        <v>1.3908095486386616E-2</v>
      </c>
      <c r="D16" s="187">
        <v>2605</v>
      </c>
      <c r="E16" s="188">
        <v>1.469891211122647E-2</v>
      </c>
      <c r="F16" s="269"/>
      <c r="G16" s="271"/>
    </row>
    <row r="17" spans="1:10" ht="15" x14ac:dyDescent="0.2">
      <c r="A17" s="310" t="s">
        <v>43</v>
      </c>
      <c r="B17" s="187">
        <v>529</v>
      </c>
      <c r="C17" s="188">
        <v>2.9981183831697309E-3</v>
      </c>
      <c r="D17" s="187">
        <v>583</v>
      </c>
      <c r="E17" s="188">
        <v>3.2896221730691101E-3</v>
      </c>
      <c r="F17" s="269"/>
      <c r="G17" s="271"/>
    </row>
    <row r="18" spans="1:10" ht="14.25" customHeight="1" x14ac:dyDescent="0.2">
      <c r="A18" s="310" t="s">
        <v>42</v>
      </c>
      <c r="B18" s="189">
        <v>129</v>
      </c>
      <c r="C18" s="190">
        <v>7.3111015392985875E-4</v>
      </c>
      <c r="D18" s="189">
        <v>171</v>
      </c>
      <c r="E18" s="190">
        <v>9.6488060307858977E-4</v>
      </c>
      <c r="F18" s="269"/>
      <c r="G18" s="271"/>
    </row>
    <row r="19" spans="1:10" ht="12.75" customHeight="1" x14ac:dyDescent="0.2">
      <c r="A19" s="311" t="s">
        <v>34</v>
      </c>
      <c r="B19" s="192">
        <f>SUM(B14:B18)</f>
        <v>176444</v>
      </c>
      <c r="C19" s="193">
        <v>1</v>
      </c>
      <c r="D19" s="192">
        <v>177224</v>
      </c>
      <c r="E19" s="193">
        <v>1</v>
      </c>
      <c r="F19" s="269"/>
      <c r="G19" s="271"/>
    </row>
    <row r="20" spans="1:10" ht="15" x14ac:dyDescent="0.2">
      <c r="A20" s="146" t="s">
        <v>33</v>
      </c>
      <c r="B20" s="191">
        <v>61507</v>
      </c>
      <c r="C20" s="190">
        <v>0.25848599081323465</v>
      </c>
      <c r="D20" s="191">
        <v>58947</v>
      </c>
      <c r="E20" s="190">
        <v>0.249594573423494</v>
      </c>
      <c r="F20" s="269"/>
      <c r="G20" s="271"/>
    </row>
    <row r="21" spans="1:10" ht="15" x14ac:dyDescent="0.2">
      <c r="A21" s="312" t="s">
        <v>1</v>
      </c>
      <c r="B21" s="192">
        <v>237951</v>
      </c>
      <c r="C21" s="193">
        <v>1</v>
      </c>
      <c r="D21" s="192">
        <v>236171</v>
      </c>
      <c r="E21" s="193">
        <v>1</v>
      </c>
      <c r="F21" s="269"/>
      <c r="G21" s="160"/>
    </row>
    <row r="22" spans="1:10" x14ac:dyDescent="0.2">
      <c r="A22" s="16"/>
      <c r="B22" s="15"/>
      <c r="C22" s="14"/>
      <c r="D22" s="15"/>
      <c r="E22" s="14"/>
    </row>
    <row r="23" spans="1:10" s="71" customFormat="1" x14ac:dyDescent="0.2">
      <c r="A23" s="328" t="s">
        <v>539</v>
      </c>
      <c r="B23" s="70"/>
      <c r="C23" s="70"/>
      <c r="D23" s="70"/>
      <c r="E23" s="70"/>
      <c r="F23" s="70"/>
      <c r="H23" s="1"/>
      <c r="I23" s="1"/>
      <c r="J23" s="1"/>
    </row>
    <row r="24" spans="1:10" x14ac:dyDescent="0.2">
      <c r="A24" s="13"/>
      <c r="B24" s="6"/>
      <c r="C24" s="5"/>
      <c r="D24" s="6"/>
      <c r="E24" s="5"/>
    </row>
    <row r="25" spans="1:10" x14ac:dyDescent="0.2">
      <c r="A25" s="2" t="s">
        <v>202</v>
      </c>
    </row>
    <row r="26" spans="1:10" x14ac:dyDescent="0.2">
      <c r="A26" s="1" t="s">
        <v>547</v>
      </c>
      <c r="H26" s="71"/>
      <c r="I26" s="71"/>
      <c r="J26" s="71"/>
    </row>
    <row r="27" spans="1:10" x14ac:dyDescent="0.2">
      <c r="A27" s="359" t="s">
        <v>208</v>
      </c>
      <c r="B27" s="359"/>
      <c r="C27" s="359"/>
      <c r="D27" s="359"/>
      <c r="E27" s="359"/>
    </row>
    <row r="28" spans="1:10" x14ac:dyDescent="0.2">
      <c r="A28" s="360" t="s">
        <v>204</v>
      </c>
      <c r="B28" s="360"/>
      <c r="C28" s="360"/>
      <c r="D28" s="360"/>
      <c r="E28" s="360"/>
    </row>
    <row r="29" spans="1:10" ht="25.5" customHeight="1" x14ac:dyDescent="0.2">
      <c r="A29" s="356"/>
      <c r="B29" s="356"/>
      <c r="C29" s="356"/>
      <c r="D29" s="356"/>
      <c r="E29" s="356"/>
    </row>
    <row r="32" spans="1:10" x14ac:dyDescent="0.2">
      <c r="D32" s="1" t="s">
        <v>128</v>
      </c>
    </row>
  </sheetData>
  <mergeCells count="5">
    <mergeCell ref="D12:E12"/>
    <mergeCell ref="A27:E27"/>
    <mergeCell ref="A28:E28"/>
    <mergeCell ref="B12:C12"/>
    <mergeCell ref="A29:E29"/>
  </mergeCells>
  <hyperlinks>
    <hyperlink ref="A8" location="Contents!A1" display="Return to Contents" xr:uid="{00000000-0004-0000-0800-000000000000}"/>
  </hyperlinks>
  <pageMargins left="0.75" right="0.75" top="1" bottom="1" header="0.5" footer="0.5"/>
  <pageSetup paperSize="9" scale="96" orientation="landscape" horizontalDpi="1200" verticalDpi="1200" r:id="rId1"/>
  <headerFooter alignWithMargins="0"/>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Y36"/>
  <sheetViews>
    <sheetView showGridLines="0" zoomScaleNormal="100" workbookViewId="0">
      <selection activeCell="A10" sqref="A10"/>
    </sheetView>
  </sheetViews>
  <sheetFormatPr defaultColWidth="9.140625" defaultRowHeight="12.75" x14ac:dyDescent="0.2"/>
  <cols>
    <col min="1" max="1" width="86.140625" style="1" customWidth="1"/>
    <col min="2" max="5" width="19.5703125" style="1" customWidth="1"/>
    <col min="6" max="6" width="14.42578125" style="1" customWidth="1"/>
    <col min="7" max="7" width="10" style="1" customWidth="1"/>
    <col min="8" max="8" width="65.85546875" style="1" bestFit="1" customWidth="1"/>
    <col min="9" max="9" width="10" style="1" customWidth="1"/>
    <col min="10" max="10" width="7.85546875" style="1" bestFit="1" customWidth="1"/>
    <col min="11" max="16384" width="9.140625" style="1"/>
  </cols>
  <sheetData>
    <row r="1" spans="1:25" s="7" customFormat="1" ht="12.75" customHeight="1" x14ac:dyDescent="0.2">
      <c r="F1" s="9"/>
      <c r="Y1" s="8"/>
    </row>
    <row r="2" spans="1:25" s="7" customFormat="1" ht="12.75" customHeight="1" x14ac:dyDescent="0.2">
      <c r="F2" s="9"/>
      <c r="Y2" s="8"/>
    </row>
    <row r="3" spans="1:25" s="7" customFormat="1" ht="12.75" customHeight="1" x14ac:dyDescent="0.2">
      <c r="F3" s="9"/>
      <c r="Y3" s="8"/>
    </row>
    <row r="4" spans="1:25" s="7" customFormat="1" ht="12.75" customHeight="1" x14ac:dyDescent="0.2">
      <c r="F4" s="9"/>
      <c r="Y4" s="8"/>
    </row>
    <row r="5" spans="1:25" s="7" customFormat="1" ht="12.75" customHeight="1" x14ac:dyDescent="0.2">
      <c r="F5" s="9"/>
      <c r="Y5" s="8"/>
    </row>
    <row r="6" spans="1:25" s="7" customFormat="1" ht="12.75" customHeight="1" x14ac:dyDescent="0.2">
      <c r="F6" s="9"/>
      <c r="Y6" s="8"/>
    </row>
    <row r="7" spans="1:25" ht="12.75" customHeight="1" x14ac:dyDescent="0.2"/>
    <row r="8" spans="1:25" ht="14.25" customHeight="1" x14ac:dyDescent="0.2">
      <c r="A8" s="39" t="s">
        <v>193</v>
      </c>
    </row>
    <row r="9" spans="1:25" ht="12.75" customHeight="1" x14ac:dyDescent="0.2"/>
    <row r="10" spans="1:25" ht="22.5" customHeight="1" x14ac:dyDescent="0.2">
      <c r="A10" s="133" t="s">
        <v>216</v>
      </c>
    </row>
    <row r="11" spans="1:25" x14ac:dyDescent="0.2">
      <c r="A11" s="2"/>
    </row>
    <row r="12" spans="1:25" x14ac:dyDescent="0.2">
      <c r="A12" s="7"/>
      <c r="B12" s="363" t="s">
        <v>265</v>
      </c>
      <c r="C12" s="364"/>
      <c r="D12" s="363" t="s">
        <v>538</v>
      </c>
      <c r="E12" s="364"/>
    </row>
    <row r="13" spans="1:25" ht="25.5" x14ac:dyDescent="0.2">
      <c r="A13" s="75" t="s">
        <v>54</v>
      </c>
      <c r="B13" s="197" t="s">
        <v>15</v>
      </c>
      <c r="C13" s="196" t="s">
        <v>14</v>
      </c>
      <c r="D13" s="197" t="s">
        <v>15</v>
      </c>
      <c r="E13" s="196" t="s">
        <v>14</v>
      </c>
    </row>
    <row r="14" spans="1:25" ht="12.75" customHeight="1" x14ac:dyDescent="0.2">
      <c r="A14" s="126" t="s">
        <v>164</v>
      </c>
      <c r="B14" s="198">
        <v>68906</v>
      </c>
      <c r="C14" s="171">
        <v>0.40034162609372642</v>
      </c>
      <c r="D14" s="198">
        <v>71083</v>
      </c>
      <c r="E14" s="171">
        <v>0.40809612933598188</v>
      </c>
      <c r="F14" s="295"/>
    </row>
    <row r="15" spans="1:25" x14ac:dyDescent="0.2">
      <c r="A15" s="141" t="s">
        <v>53</v>
      </c>
      <c r="B15" s="199">
        <v>40644</v>
      </c>
      <c r="C15" s="173">
        <v>0.23614032233700136</v>
      </c>
      <c r="D15" s="199">
        <v>39291</v>
      </c>
      <c r="E15" s="173">
        <v>0.22557439919165012</v>
      </c>
      <c r="F15" s="295"/>
    </row>
    <row r="16" spans="1:25" x14ac:dyDescent="0.2">
      <c r="A16" s="141" t="s">
        <v>165</v>
      </c>
      <c r="B16" s="199">
        <v>36136</v>
      </c>
      <c r="C16" s="173">
        <v>0.20994898848464424</v>
      </c>
      <c r="D16" s="199">
        <v>36102</v>
      </c>
      <c r="E16" s="173">
        <v>0.20726596318792986</v>
      </c>
      <c r="F16" s="295"/>
    </row>
    <row r="17" spans="1:10" x14ac:dyDescent="0.2">
      <c r="A17" s="141" t="s">
        <v>172</v>
      </c>
      <c r="B17" s="199">
        <v>9879</v>
      </c>
      <c r="C17" s="173">
        <v>5.7396669726582923E-2</v>
      </c>
      <c r="D17" s="199">
        <v>9563</v>
      </c>
      <c r="E17" s="173">
        <v>5.4902343525737446E-2</v>
      </c>
      <c r="F17" s="295"/>
    </row>
    <row r="18" spans="1:10" x14ac:dyDescent="0.2">
      <c r="A18" s="141" t="s">
        <v>52</v>
      </c>
      <c r="B18" s="199">
        <v>8029</v>
      </c>
      <c r="C18" s="173">
        <v>4.6648229702878255E-2</v>
      </c>
      <c r="D18" s="199">
        <v>8970</v>
      </c>
      <c r="E18" s="173">
        <v>5.1497858561734278E-2</v>
      </c>
      <c r="F18" s="295"/>
    </row>
    <row r="19" spans="1:10" x14ac:dyDescent="0.2">
      <c r="A19" s="141" t="s">
        <v>166</v>
      </c>
      <c r="B19" s="199">
        <v>4078</v>
      </c>
      <c r="C19" s="173">
        <v>2.3693047792793315E-2</v>
      </c>
      <c r="D19" s="199">
        <v>4171</v>
      </c>
      <c r="E19" s="173">
        <v>2.3946217175138649E-2</v>
      </c>
      <c r="F19" s="295"/>
    </row>
    <row r="20" spans="1:10" x14ac:dyDescent="0.2">
      <c r="A20" s="141" t="s">
        <v>51</v>
      </c>
      <c r="B20" s="199">
        <v>676</v>
      </c>
      <c r="C20" s="173">
        <v>3.9275380843374896E-3</v>
      </c>
      <c r="D20" s="199">
        <v>1313</v>
      </c>
      <c r="E20" s="173">
        <v>7.5380923401958868E-3</v>
      </c>
      <c r="F20" s="295"/>
    </row>
    <row r="21" spans="1:10" x14ac:dyDescent="0.2">
      <c r="A21" s="141" t="s">
        <v>50</v>
      </c>
      <c r="B21" s="199">
        <v>975</v>
      </c>
      <c r="C21" s="173">
        <v>5.6647183908713787E-3</v>
      </c>
      <c r="D21" s="199">
        <v>1056</v>
      </c>
      <c r="E21" s="173">
        <v>6.0626241517493197E-3</v>
      </c>
      <c r="F21" s="295"/>
    </row>
    <row r="22" spans="1:10" x14ac:dyDescent="0.2">
      <c r="A22" s="141" t="s">
        <v>49</v>
      </c>
      <c r="B22" s="199">
        <v>1380</v>
      </c>
      <c r="C22" s="173">
        <v>8.0177552609256436E-3</v>
      </c>
      <c r="D22" s="199">
        <v>1341</v>
      </c>
      <c r="E22" s="173">
        <v>7.6988437381589371E-3</v>
      </c>
      <c r="F22" s="295"/>
    </row>
    <row r="23" spans="1:10" x14ac:dyDescent="0.2">
      <c r="A23" s="141" t="s">
        <v>167</v>
      </c>
      <c r="B23" s="199">
        <v>1164</v>
      </c>
      <c r="C23" s="173">
        <v>6.7628022635633691E-3</v>
      </c>
      <c r="D23" s="199">
        <v>1062</v>
      </c>
      <c r="E23" s="173">
        <v>6.0970708798842588E-3</v>
      </c>
      <c r="F23" s="295"/>
    </row>
    <row r="24" spans="1:10" x14ac:dyDescent="0.2">
      <c r="A24" s="141" t="s">
        <v>48</v>
      </c>
      <c r="B24" s="199">
        <v>229</v>
      </c>
      <c r="C24" s="173">
        <v>1.3304825759072264E-3</v>
      </c>
      <c r="D24" s="199">
        <v>211</v>
      </c>
      <c r="E24" s="173">
        <v>1.2113766060786993E-3</v>
      </c>
      <c r="F24" s="295"/>
    </row>
    <row r="25" spans="1:10" x14ac:dyDescent="0.2">
      <c r="A25" s="141" t="s">
        <v>67</v>
      </c>
      <c r="B25" s="200">
        <v>22</v>
      </c>
      <c r="C25" s="174">
        <v>1.2781928676837984E-4</v>
      </c>
      <c r="D25" s="200">
        <v>19</v>
      </c>
      <c r="E25" s="174">
        <v>1.0908130576064117E-4</v>
      </c>
      <c r="F25" s="295"/>
    </row>
    <row r="26" spans="1:10" x14ac:dyDescent="0.2">
      <c r="A26" s="282" t="s">
        <v>34</v>
      </c>
      <c r="B26" s="283">
        <f>SUM(B14:B25)</f>
        <v>172118</v>
      </c>
      <c r="C26" s="281">
        <v>1</v>
      </c>
      <c r="D26" s="283">
        <v>174182</v>
      </c>
      <c r="E26" s="281">
        <v>1</v>
      </c>
      <c r="F26" s="295"/>
    </row>
    <row r="27" spans="1:10" x14ac:dyDescent="0.2">
      <c r="A27" s="140" t="s">
        <v>33</v>
      </c>
      <c r="B27" s="200">
        <v>65833</v>
      </c>
      <c r="C27" s="174">
        <v>0.27666620438661743</v>
      </c>
      <c r="D27" s="200">
        <v>61989</v>
      </c>
      <c r="E27" s="174">
        <v>0.26247507102904249</v>
      </c>
      <c r="F27" s="295"/>
    </row>
    <row r="28" spans="1:10" x14ac:dyDescent="0.2">
      <c r="A28" s="74" t="s">
        <v>1</v>
      </c>
      <c r="B28" s="201">
        <v>237951</v>
      </c>
      <c r="C28" s="175">
        <v>1</v>
      </c>
      <c r="D28" s="201">
        <v>236171</v>
      </c>
      <c r="E28" s="175">
        <v>1</v>
      </c>
      <c r="F28" s="295"/>
    </row>
    <row r="29" spans="1:10" x14ac:dyDescent="0.2">
      <c r="A29" s="18"/>
      <c r="B29" s="6"/>
      <c r="C29" s="5"/>
      <c r="D29" s="6"/>
      <c r="E29" s="5"/>
    </row>
    <row r="30" spans="1:10" s="71" customFormat="1" x14ac:dyDescent="0.2">
      <c r="A30" s="328" t="s">
        <v>539</v>
      </c>
      <c r="B30" s="70"/>
      <c r="C30" s="70"/>
      <c r="D30" s="70"/>
      <c r="E30" s="70"/>
      <c r="F30" s="70"/>
      <c r="H30" s="1"/>
      <c r="I30" s="1"/>
      <c r="J30" s="1"/>
    </row>
    <row r="31" spans="1:10" x14ac:dyDescent="0.2">
      <c r="A31" s="13"/>
      <c r="B31" s="6"/>
      <c r="C31" s="5"/>
      <c r="D31" s="6"/>
      <c r="E31" s="5"/>
      <c r="H31" s="71"/>
      <c r="I31" s="71"/>
      <c r="J31" s="71"/>
    </row>
    <row r="32" spans="1:10" x14ac:dyDescent="0.2">
      <c r="A32" s="2" t="s">
        <v>202</v>
      </c>
    </row>
    <row r="33" spans="1:5" x14ac:dyDescent="0.2">
      <c r="A33" s="1" t="s">
        <v>547</v>
      </c>
    </row>
    <row r="34" spans="1:5" x14ac:dyDescent="0.2">
      <c r="A34" s="359" t="s">
        <v>208</v>
      </c>
      <c r="B34" s="359"/>
      <c r="C34" s="359"/>
      <c r="D34" s="359"/>
      <c r="E34" s="359"/>
    </row>
    <row r="35" spans="1:5" x14ac:dyDescent="0.2">
      <c r="A35" s="360" t="s">
        <v>204</v>
      </c>
      <c r="B35" s="360"/>
      <c r="C35" s="360"/>
      <c r="D35" s="360"/>
      <c r="E35" s="360"/>
    </row>
    <row r="36" spans="1:5" ht="25.5" customHeight="1" x14ac:dyDescent="0.2">
      <c r="A36" s="356"/>
      <c r="B36" s="356"/>
      <c r="C36" s="356"/>
      <c r="D36" s="356"/>
      <c r="E36" s="356"/>
    </row>
  </sheetData>
  <sortState xmlns:xlrd2="http://schemas.microsoft.com/office/spreadsheetml/2017/richdata2" ref="H14:J25">
    <sortCondition descending="1" ref="I14:I25"/>
  </sortState>
  <mergeCells count="5">
    <mergeCell ref="D12:E12"/>
    <mergeCell ref="A34:E34"/>
    <mergeCell ref="B12:C12"/>
    <mergeCell ref="A35:E35"/>
    <mergeCell ref="A36:E36"/>
  </mergeCells>
  <hyperlinks>
    <hyperlink ref="A8" location="Contents!A1" display="Return to Contents" xr:uid="{00000000-0004-0000-0900-000000000000}"/>
  </hyperlinks>
  <pageMargins left="0.75" right="0.75" top="1" bottom="1" header="0.5" footer="0.5"/>
  <pageSetup paperSize="9" scale="94" orientation="landscape" r:id="rId1"/>
  <headerFooter alignWithMargins="0"/>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Y30"/>
  <sheetViews>
    <sheetView showGridLines="0" zoomScaleNormal="100" workbookViewId="0">
      <selection activeCell="A10" sqref="A10"/>
    </sheetView>
  </sheetViews>
  <sheetFormatPr defaultColWidth="9.140625" defaultRowHeight="12.75" x14ac:dyDescent="0.2"/>
  <cols>
    <col min="1" max="1" width="61.85546875" style="1" bestFit="1" customWidth="1"/>
    <col min="2" max="5" width="19.140625" style="1" customWidth="1"/>
    <col min="6" max="6" width="9.140625" style="1" customWidth="1"/>
    <col min="7" max="7" width="11.140625" style="1" bestFit="1" customWidth="1"/>
    <col min="8" max="8" width="61.85546875" style="1" bestFit="1" customWidth="1"/>
    <col min="9" max="9" width="13.85546875" style="1" customWidth="1"/>
    <col min="10" max="16384" width="9.140625" style="1"/>
  </cols>
  <sheetData>
    <row r="1" spans="1:25" s="7" customFormat="1" ht="12.75" customHeight="1" x14ac:dyDescent="0.2">
      <c r="F1" s="9"/>
      <c r="Y1" s="8"/>
    </row>
    <row r="2" spans="1:25" s="7" customFormat="1" ht="12.75" customHeight="1" x14ac:dyDescent="0.2">
      <c r="F2" s="9"/>
      <c r="Y2" s="8"/>
    </row>
    <row r="3" spans="1:25" s="7" customFormat="1" ht="12.75" customHeight="1" x14ac:dyDescent="0.2">
      <c r="F3" s="9"/>
      <c r="Y3" s="8"/>
    </row>
    <row r="4" spans="1:25" s="7" customFormat="1" ht="12.75" customHeight="1" x14ac:dyDescent="0.2">
      <c r="F4" s="9"/>
      <c r="Y4" s="8"/>
    </row>
    <row r="5" spans="1:25" s="7" customFormat="1" ht="12.75" customHeight="1" x14ac:dyDescent="0.2">
      <c r="F5" s="9"/>
      <c r="Y5" s="8"/>
    </row>
    <row r="6" spans="1:25" s="7" customFormat="1" ht="12.75" customHeight="1" x14ac:dyDescent="0.2">
      <c r="F6" s="9"/>
      <c r="Y6" s="8"/>
    </row>
    <row r="7" spans="1:25" ht="12.75" customHeight="1" x14ac:dyDescent="0.2"/>
    <row r="8" spans="1:25" ht="14.25" customHeight="1" x14ac:dyDescent="0.2">
      <c r="A8" s="39" t="s">
        <v>193</v>
      </c>
    </row>
    <row r="9" spans="1:25" ht="12.75" customHeight="1" x14ac:dyDescent="0.2"/>
    <row r="10" spans="1:25" ht="22.5" customHeight="1" x14ac:dyDescent="0.2">
      <c r="A10" s="133" t="s">
        <v>215</v>
      </c>
    </row>
    <row r="11" spans="1:25" x14ac:dyDescent="0.2">
      <c r="A11" s="2"/>
    </row>
    <row r="12" spans="1:25" x14ac:dyDescent="0.2">
      <c r="A12" s="7"/>
      <c r="B12" s="379" t="s">
        <v>265</v>
      </c>
      <c r="C12" s="379"/>
      <c r="D12" s="379" t="s">
        <v>538</v>
      </c>
      <c r="E12" s="379"/>
    </row>
    <row r="13" spans="1:25" ht="38.25" x14ac:dyDescent="0.2">
      <c r="A13" s="75" t="s">
        <v>58</v>
      </c>
      <c r="B13" s="66" t="s">
        <v>15</v>
      </c>
      <c r="C13" s="57" t="s">
        <v>14</v>
      </c>
      <c r="D13" s="66" t="s">
        <v>15</v>
      </c>
      <c r="E13" s="57" t="s">
        <v>14</v>
      </c>
    </row>
    <row r="14" spans="1:25" ht="12.75" customHeight="1" x14ac:dyDescent="0.2">
      <c r="A14" s="142" t="s">
        <v>46</v>
      </c>
      <c r="B14" s="103">
        <v>126671</v>
      </c>
      <c r="C14" s="77">
        <v>0.79517263025737606</v>
      </c>
      <c r="D14" s="103">
        <v>120284</v>
      </c>
      <c r="E14" s="77">
        <v>0.80000532077630127</v>
      </c>
      <c r="G14" s="31"/>
    </row>
    <row r="15" spans="1:25" ht="12.75" customHeight="1" x14ac:dyDescent="0.2">
      <c r="A15" s="143" t="s">
        <v>57</v>
      </c>
      <c r="B15" s="104">
        <v>15418</v>
      </c>
      <c r="C15" s="78">
        <v>9.6785938480853734E-2</v>
      </c>
      <c r="D15" s="104">
        <v>13838</v>
      </c>
      <c r="E15" s="78">
        <v>9.2036128071085577E-2</v>
      </c>
      <c r="G15" s="31"/>
    </row>
    <row r="16" spans="1:25" x14ac:dyDescent="0.2">
      <c r="A16" s="143" t="s">
        <v>45</v>
      </c>
      <c r="B16" s="104">
        <v>5968</v>
      </c>
      <c r="C16" s="78">
        <v>3.7463904582548647E-2</v>
      </c>
      <c r="D16" s="104">
        <v>5549</v>
      </c>
      <c r="E16" s="78">
        <v>3.6906234619631002E-2</v>
      </c>
      <c r="G16" s="31"/>
    </row>
    <row r="17" spans="1:11" x14ac:dyDescent="0.2">
      <c r="A17" s="143" t="s">
        <v>56</v>
      </c>
      <c r="B17" s="104">
        <v>10820</v>
      </c>
      <c r="C17" s="78">
        <v>6.7922159447583175E-2</v>
      </c>
      <c r="D17" s="104">
        <v>10357</v>
      </c>
      <c r="E17" s="78">
        <v>6.8884100190217748E-2</v>
      </c>
      <c r="G17" s="31"/>
    </row>
    <row r="18" spans="1:11" x14ac:dyDescent="0.2">
      <c r="A18" s="143" t="s">
        <v>43</v>
      </c>
      <c r="B18" s="104">
        <v>357</v>
      </c>
      <c r="C18" s="78">
        <v>2.2410546139359699E-3</v>
      </c>
      <c r="D18" s="104">
        <v>229</v>
      </c>
      <c r="E18" s="78">
        <v>1.5230722162363488E-3</v>
      </c>
      <c r="G18" s="31"/>
    </row>
    <row r="19" spans="1:11" x14ac:dyDescent="0.2">
      <c r="A19" s="143" t="s">
        <v>55</v>
      </c>
      <c r="B19" s="105">
        <v>66</v>
      </c>
      <c r="C19" s="76">
        <v>4.1431261770244823E-4</v>
      </c>
      <c r="D19" s="105">
        <v>97</v>
      </c>
      <c r="E19" s="76">
        <v>6.4514412652806044E-4</v>
      </c>
    </row>
    <row r="20" spans="1:11" x14ac:dyDescent="0.2">
      <c r="A20" s="284" t="s">
        <v>34</v>
      </c>
      <c r="B20" s="285">
        <f>SUM(B14:B19)</f>
        <v>159300</v>
      </c>
      <c r="C20" s="280">
        <v>1</v>
      </c>
      <c r="D20" s="285">
        <v>150354</v>
      </c>
      <c r="E20" s="280">
        <v>1</v>
      </c>
      <c r="G20" s="31"/>
    </row>
    <row r="21" spans="1:11" x14ac:dyDescent="0.2">
      <c r="A21" s="144" t="s">
        <v>33</v>
      </c>
      <c r="B21" s="105">
        <v>78651</v>
      </c>
      <c r="C21" s="76">
        <v>0.33053443776239644</v>
      </c>
      <c r="D21" s="105">
        <v>85817</v>
      </c>
      <c r="E21" s="76">
        <v>0.36336806805238575</v>
      </c>
    </row>
    <row r="22" spans="1:11" x14ac:dyDescent="0.2">
      <c r="A22" s="80" t="s">
        <v>1</v>
      </c>
      <c r="B22" s="100">
        <v>237951</v>
      </c>
      <c r="C22" s="79">
        <v>1</v>
      </c>
      <c r="D22" s="100">
        <v>236171</v>
      </c>
      <c r="E22" s="79">
        <v>1</v>
      </c>
    </row>
    <row r="23" spans="1:11" x14ac:dyDescent="0.2">
      <c r="A23" s="13"/>
      <c r="B23" s="4"/>
      <c r="C23" s="3"/>
      <c r="D23" s="4"/>
      <c r="E23" s="3"/>
      <c r="G23" s="159"/>
    </row>
    <row r="24" spans="1:11" s="71" customFormat="1" x14ac:dyDescent="0.2">
      <c r="A24" s="328" t="s">
        <v>539</v>
      </c>
      <c r="B24" s="70"/>
      <c r="C24" s="70"/>
      <c r="D24" s="70"/>
      <c r="E24" s="70"/>
      <c r="F24" s="70"/>
      <c r="I24" s="1"/>
      <c r="J24" s="1"/>
      <c r="K24" s="1"/>
    </row>
    <row r="25" spans="1:11" x14ac:dyDescent="0.2">
      <c r="A25" s="13"/>
      <c r="B25" s="6"/>
      <c r="C25" s="5"/>
      <c r="D25" s="6"/>
      <c r="E25" s="5"/>
    </row>
    <row r="26" spans="1:11" x14ac:dyDescent="0.2">
      <c r="A26" s="2" t="s">
        <v>202</v>
      </c>
      <c r="I26" s="71"/>
      <c r="J26" s="71"/>
      <c r="K26" s="71"/>
    </row>
    <row r="27" spans="1:11" x14ac:dyDescent="0.2">
      <c r="A27" s="1" t="s">
        <v>547</v>
      </c>
    </row>
    <row r="28" spans="1:11" ht="12.75" customHeight="1" x14ac:dyDescent="0.2">
      <c r="A28" s="359" t="s">
        <v>208</v>
      </c>
      <c r="B28" s="359"/>
      <c r="C28" s="359"/>
      <c r="D28" s="359"/>
      <c r="E28" s="359"/>
    </row>
    <row r="29" spans="1:11" ht="12.75" customHeight="1" x14ac:dyDescent="0.2">
      <c r="A29" s="360" t="s">
        <v>204</v>
      </c>
      <c r="B29" s="360"/>
      <c r="C29" s="360"/>
      <c r="D29" s="360"/>
      <c r="E29" s="360"/>
    </row>
    <row r="30" spans="1:11" ht="25.5" customHeight="1" x14ac:dyDescent="0.2">
      <c r="A30" s="356"/>
      <c r="B30" s="356"/>
      <c r="C30" s="356"/>
      <c r="D30" s="356"/>
      <c r="E30" s="356"/>
    </row>
  </sheetData>
  <mergeCells count="5">
    <mergeCell ref="A29:E29"/>
    <mergeCell ref="B12:C12"/>
    <mergeCell ref="D12:E12"/>
    <mergeCell ref="A28:E28"/>
    <mergeCell ref="A30:E30"/>
  </mergeCells>
  <hyperlinks>
    <hyperlink ref="A8" location="Contents!A1" display="Return to Contents" xr:uid="{00000000-0004-0000-0A00-000000000000}"/>
  </hyperlinks>
  <pageMargins left="0.75" right="0.75" top="1" bottom="1" header="0.5" footer="0.5"/>
  <pageSetup paperSize="9" scale="93" orientation="landscape" r:id="rId1"/>
  <headerFooter alignWithMargins="0"/>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Y38"/>
  <sheetViews>
    <sheetView showGridLines="0" zoomScaleNormal="100" workbookViewId="0">
      <selection activeCell="A10" sqref="A10"/>
    </sheetView>
  </sheetViews>
  <sheetFormatPr defaultColWidth="9.140625" defaultRowHeight="12.75" x14ac:dyDescent="0.2"/>
  <cols>
    <col min="1" max="1" width="51.140625" style="1" customWidth="1"/>
    <col min="2" max="5" width="19.5703125" style="1" customWidth="1"/>
    <col min="6" max="6" width="12.5703125" style="1" customWidth="1"/>
    <col min="7" max="7" width="46.7109375" style="1" bestFit="1" customWidth="1"/>
    <col min="8" max="8" width="12.140625" style="1" customWidth="1"/>
    <col min="9" max="9" width="46.85546875" style="1" bestFit="1" customWidth="1"/>
    <col min="10" max="16384" width="9.140625" style="1"/>
  </cols>
  <sheetData>
    <row r="1" spans="1:25" s="7" customFormat="1" ht="12.75" customHeight="1" x14ac:dyDescent="0.2">
      <c r="F1" s="9"/>
      <c r="Y1" s="8"/>
    </row>
    <row r="2" spans="1:25" s="7" customFormat="1" ht="12.75" customHeight="1" x14ac:dyDescent="0.2">
      <c r="F2" s="9"/>
      <c r="Y2" s="8"/>
    </row>
    <row r="3" spans="1:25" s="7" customFormat="1" ht="12.75" customHeight="1" x14ac:dyDescent="0.2">
      <c r="F3" s="9"/>
      <c r="Y3" s="8"/>
    </row>
    <row r="4" spans="1:25" s="7" customFormat="1" ht="12.75" customHeight="1" x14ac:dyDescent="0.2">
      <c r="F4" s="9"/>
      <c r="Y4" s="8"/>
    </row>
    <row r="5" spans="1:25" s="7" customFormat="1" ht="12.75" customHeight="1" x14ac:dyDescent="0.2">
      <c r="F5" s="9"/>
      <c r="Y5" s="8"/>
    </row>
    <row r="6" spans="1:25" s="7" customFormat="1" ht="12.75" customHeight="1" x14ac:dyDescent="0.2">
      <c r="F6" s="9"/>
      <c r="Y6" s="8"/>
    </row>
    <row r="7" spans="1:25" ht="12.75" customHeight="1" x14ac:dyDescent="0.2"/>
    <row r="8" spans="1:25" ht="14.25" customHeight="1" x14ac:dyDescent="0.2">
      <c r="A8" s="39" t="s">
        <v>193</v>
      </c>
    </row>
    <row r="9" spans="1:25" ht="12.75" customHeight="1" x14ac:dyDescent="0.2"/>
    <row r="10" spans="1:25" ht="22.5" customHeight="1" x14ac:dyDescent="0.2">
      <c r="A10" s="133" t="s">
        <v>214</v>
      </c>
    </row>
    <row r="11" spans="1:25" x14ac:dyDescent="0.2">
      <c r="A11" s="2"/>
    </row>
    <row r="12" spans="1:25" x14ac:dyDescent="0.2">
      <c r="A12" s="7"/>
      <c r="B12" s="380" t="s">
        <v>265</v>
      </c>
      <c r="C12" s="381"/>
      <c r="D12" s="380" t="s">
        <v>538</v>
      </c>
      <c r="E12" s="381"/>
    </row>
    <row r="13" spans="1:25" ht="25.5" x14ac:dyDescent="0.2">
      <c r="A13" s="130" t="s">
        <v>66</v>
      </c>
      <c r="B13" s="66" t="s">
        <v>15</v>
      </c>
      <c r="C13" s="55" t="s">
        <v>14</v>
      </c>
      <c r="D13" s="66" t="s">
        <v>15</v>
      </c>
      <c r="E13" s="55" t="s">
        <v>14</v>
      </c>
      <c r="I13" s="31"/>
    </row>
    <row r="14" spans="1:25" x14ac:dyDescent="0.2">
      <c r="A14" s="145" t="s">
        <v>65</v>
      </c>
      <c r="B14" s="62">
        <v>70278</v>
      </c>
      <c r="C14" s="101">
        <v>0.42580598253830726</v>
      </c>
      <c r="D14" s="62">
        <v>66014</v>
      </c>
      <c r="E14" s="101">
        <v>0.42027324700459656</v>
      </c>
      <c r="F14" s="296"/>
      <c r="I14" s="31"/>
    </row>
    <row r="15" spans="1:25" x14ac:dyDescent="0.2">
      <c r="A15" s="145" t="s">
        <v>64</v>
      </c>
      <c r="B15" s="63">
        <v>56953</v>
      </c>
      <c r="C15" s="102">
        <v>0.34507140390313062</v>
      </c>
      <c r="D15" s="63">
        <v>56487</v>
      </c>
      <c r="E15" s="102">
        <v>0.35962030635241987</v>
      </c>
      <c r="F15" s="296"/>
      <c r="I15" s="31"/>
    </row>
    <row r="16" spans="1:25" x14ac:dyDescent="0.2">
      <c r="A16" s="145" t="s">
        <v>63</v>
      </c>
      <c r="B16" s="63">
        <v>15769</v>
      </c>
      <c r="C16" s="102">
        <v>9.554248183850661E-2</v>
      </c>
      <c r="D16" s="63">
        <v>14054</v>
      </c>
      <c r="E16" s="102">
        <v>8.947375122553701E-2</v>
      </c>
      <c r="F16" s="296"/>
      <c r="I16" s="31"/>
    </row>
    <row r="17" spans="1:11" x14ac:dyDescent="0.2">
      <c r="A17" s="145" t="s">
        <v>62</v>
      </c>
      <c r="B17" s="63">
        <v>9471</v>
      </c>
      <c r="C17" s="102">
        <v>5.7383654353002481E-2</v>
      </c>
      <c r="D17" s="63">
        <v>10902</v>
      </c>
      <c r="E17" s="102">
        <v>6.940677642385118E-2</v>
      </c>
      <c r="F17" s="296"/>
      <c r="I17" s="31"/>
    </row>
    <row r="18" spans="1:11" x14ac:dyDescent="0.2">
      <c r="A18" s="145" t="s">
        <v>61</v>
      </c>
      <c r="B18" s="63">
        <v>7480</v>
      </c>
      <c r="C18" s="102">
        <v>4.5320423879258637E-2</v>
      </c>
      <c r="D18" s="63">
        <v>5225</v>
      </c>
      <c r="E18" s="102">
        <v>3.3264575932363087E-2</v>
      </c>
      <c r="F18" s="296"/>
      <c r="I18" s="31"/>
    </row>
    <row r="19" spans="1:11" x14ac:dyDescent="0.2">
      <c r="A19" s="145" t="s">
        <v>60</v>
      </c>
      <c r="B19" s="63">
        <v>2040</v>
      </c>
      <c r="C19" s="102">
        <v>1.2360115603434174E-2</v>
      </c>
      <c r="D19" s="63">
        <v>1039</v>
      </c>
      <c r="E19" s="102">
        <v>6.6147166303780385E-3</v>
      </c>
      <c r="F19" s="296"/>
      <c r="I19" s="31"/>
    </row>
    <row r="20" spans="1:11" x14ac:dyDescent="0.2">
      <c r="A20" s="145" t="s">
        <v>59</v>
      </c>
      <c r="B20" s="63">
        <v>1300</v>
      </c>
      <c r="C20" s="102">
        <v>7.8765442570904037E-3</v>
      </c>
      <c r="D20" s="63">
        <v>1410</v>
      </c>
      <c r="E20" s="102">
        <v>8.9766606822262122E-3</v>
      </c>
      <c r="F20" s="296"/>
      <c r="I20" s="31"/>
    </row>
    <row r="21" spans="1:11" x14ac:dyDescent="0.2">
      <c r="A21" s="145" t="s">
        <v>169</v>
      </c>
      <c r="B21" s="63">
        <v>709</v>
      </c>
      <c r="C21" s="102">
        <v>4.2957460602131518E-3</v>
      </c>
      <c r="D21" s="63">
        <v>881</v>
      </c>
      <c r="E21" s="102">
        <v>5.608821319887442E-3</v>
      </c>
      <c r="F21" s="296"/>
      <c r="I21" s="31"/>
    </row>
    <row r="22" spans="1:11" x14ac:dyDescent="0.2">
      <c r="A22" s="145" t="s">
        <v>170</v>
      </c>
      <c r="B22" s="63">
        <v>544</v>
      </c>
      <c r="C22" s="102">
        <v>3.2960308275824463E-3</v>
      </c>
      <c r="D22" s="63">
        <v>478</v>
      </c>
      <c r="E22" s="102">
        <v>3.0431516355348435E-3</v>
      </c>
      <c r="F22" s="296"/>
      <c r="I22" s="31"/>
    </row>
    <row r="23" spans="1:11" x14ac:dyDescent="0.2">
      <c r="A23" s="145" t="s">
        <v>171</v>
      </c>
      <c r="B23" s="63">
        <v>212</v>
      </c>
      <c r="C23" s="102">
        <v>1.284482601925512E-3</v>
      </c>
      <c r="D23" s="63">
        <v>250</v>
      </c>
      <c r="E23" s="102">
        <v>1.5916065039408176E-3</v>
      </c>
      <c r="F23" s="296"/>
      <c r="I23" s="31"/>
    </row>
    <row r="24" spans="1:11" x14ac:dyDescent="0.2">
      <c r="A24" s="145" t="s">
        <v>168</v>
      </c>
      <c r="B24" s="64">
        <v>291</v>
      </c>
      <c r="C24" s="106">
        <v>1.7631341375486983E-3</v>
      </c>
      <c r="D24" s="64">
        <v>334</v>
      </c>
      <c r="E24" s="106">
        <v>2.1263862892649324E-3</v>
      </c>
      <c r="F24" s="296"/>
      <c r="I24" s="31"/>
    </row>
    <row r="25" spans="1:11" x14ac:dyDescent="0.2">
      <c r="A25" s="286" t="s">
        <v>34</v>
      </c>
      <c r="B25" s="283">
        <f>SUM(B14:B24)</f>
        <v>165047</v>
      </c>
      <c r="C25" s="107">
        <v>1</v>
      </c>
      <c r="D25" s="283">
        <v>157074</v>
      </c>
      <c r="E25" s="107">
        <v>1</v>
      </c>
      <c r="F25" s="296"/>
    </row>
    <row r="26" spans="1:11" x14ac:dyDescent="0.2">
      <c r="A26" s="146" t="s">
        <v>33</v>
      </c>
      <c r="B26" s="64">
        <v>72904</v>
      </c>
      <c r="C26" s="106">
        <v>0.30638240646183457</v>
      </c>
      <c r="D26" s="64">
        <v>79097</v>
      </c>
      <c r="E26" s="106">
        <v>0.33491410884486239</v>
      </c>
      <c r="F26" s="296"/>
      <c r="I26" s="31"/>
    </row>
    <row r="27" spans="1:11" x14ac:dyDescent="0.2">
      <c r="A27" s="81" t="s">
        <v>1</v>
      </c>
      <c r="B27" s="65">
        <v>237951</v>
      </c>
      <c r="C27" s="195">
        <v>1</v>
      </c>
      <c r="D27" s="65">
        <v>236171</v>
      </c>
      <c r="E27" s="195">
        <v>1</v>
      </c>
      <c r="F27" s="296"/>
      <c r="I27" s="31"/>
    </row>
    <row r="28" spans="1:11" x14ac:dyDescent="0.2">
      <c r="A28" s="18"/>
      <c r="B28" s="6"/>
      <c r="C28" s="5"/>
      <c r="D28" s="6"/>
      <c r="E28" s="5"/>
    </row>
    <row r="29" spans="1:11" s="71" customFormat="1" x14ac:dyDescent="0.2">
      <c r="A29" s="328" t="s">
        <v>539</v>
      </c>
      <c r="B29" s="70"/>
      <c r="C29" s="70"/>
      <c r="D29" s="70"/>
      <c r="E29" s="70"/>
      <c r="F29" s="70"/>
      <c r="I29" s="1"/>
      <c r="J29" s="1"/>
      <c r="K29" s="1"/>
    </row>
    <row r="30" spans="1:11" x14ac:dyDescent="0.2">
      <c r="A30" s="13"/>
      <c r="B30" s="6"/>
      <c r="C30" s="5"/>
      <c r="D30" s="6"/>
      <c r="E30" s="5"/>
    </row>
    <row r="31" spans="1:11" x14ac:dyDescent="0.2">
      <c r="A31" s="2" t="s">
        <v>202</v>
      </c>
    </row>
    <row r="32" spans="1:11" x14ac:dyDescent="0.2">
      <c r="A32" s="1" t="s">
        <v>32</v>
      </c>
      <c r="I32" s="71"/>
      <c r="J32" s="71"/>
      <c r="K32" s="71"/>
    </row>
    <row r="33" spans="1:11" x14ac:dyDescent="0.2">
      <c r="A33" s="359" t="s">
        <v>203</v>
      </c>
      <c r="B33" s="359"/>
      <c r="C33" s="359"/>
      <c r="D33" s="359"/>
      <c r="E33" s="359"/>
    </row>
    <row r="34" spans="1:11" x14ac:dyDescent="0.2">
      <c r="A34" s="360" t="s">
        <v>204</v>
      </c>
      <c r="B34" s="360"/>
      <c r="C34" s="360"/>
      <c r="D34" s="360"/>
      <c r="E34" s="360"/>
    </row>
    <row r="35" spans="1:11" s="71" customFormat="1" ht="25.5" customHeight="1" x14ac:dyDescent="0.2">
      <c r="A35" s="356"/>
      <c r="B35" s="356"/>
      <c r="C35" s="356"/>
      <c r="D35" s="356"/>
      <c r="E35" s="356"/>
      <c r="I35" s="1"/>
      <c r="J35" s="1"/>
      <c r="K35" s="1"/>
    </row>
    <row r="38" spans="1:11" x14ac:dyDescent="0.2">
      <c r="I38" s="71"/>
      <c r="J38" s="71"/>
      <c r="K38" s="71"/>
    </row>
  </sheetData>
  <sortState xmlns:xlrd2="http://schemas.microsoft.com/office/spreadsheetml/2017/richdata2" ref="I13:K23">
    <sortCondition descending="1" ref="J13:J23"/>
  </sortState>
  <mergeCells count="5">
    <mergeCell ref="D12:E12"/>
    <mergeCell ref="B12:C12"/>
    <mergeCell ref="A33:E33"/>
    <mergeCell ref="A34:E34"/>
    <mergeCell ref="A35:E35"/>
  </mergeCells>
  <hyperlinks>
    <hyperlink ref="A8" location="Contents!A1" display="Return to Contents" xr:uid="{00000000-0004-0000-0B00-000000000000}"/>
  </hyperlinks>
  <pageMargins left="0.75" right="0.75" top="1" bottom="1" header="0.5" footer="0.5"/>
  <pageSetup paperSize="9" orientation="landscape" r:id="rId1"/>
  <headerFooter alignWithMargins="0"/>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A1:Y34"/>
  <sheetViews>
    <sheetView showGridLines="0" zoomScaleNormal="100" workbookViewId="0">
      <selection activeCell="A10" sqref="A10"/>
    </sheetView>
  </sheetViews>
  <sheetFormatPr defaultColWidth="9.140625" defaultRowHeight="12.75" x14ac:dyDescent="0.2"/>
  <cols>
    <col min="1" max="1" width="143.140625" style="1" customWidth="1"/>
    <col min="2" max="5" width="19.140625" style="17" customWidth="1"/>
    <col min="6" max="6" width="6.5703125" style="1" customWidth="1"/>
    <col min="7" max="7" width="9.140625" style="1"/>
    <col min="8" max="8" width="73.140625" style="1" customWidth="1"/>
    <col min="9" max="9" width="9.42578125" style="1" customWidth="1"/>
    <col min="10" max="16384" width="9.140625" style="1"/>
  </cols>
  <sheetData>
    <row r="1" spans="1:25" s="7" customFormat="1" ht="12.75" customHeight="1" x14ac:dyDescent="0.2">
      <c r="F1" s="9"/>
      <c r="Y1" s="8"/>
    </row>
    <row r="2" spans="1:25" s="7" customFormat="1" ht="12.75" customHeight="1" x14ac:dyDescent="0.2">
      <c r="F2" s="9"/>
      <c r="Y2" s="8"/>
    </row>
    <row r="3" spans="1:25" s="7" customFormat="1" ht="12.75" customHeight="1" x14ac:dyDescent="0.2">
      <c r="F3" s="9"/>
      <c r="Y3" s="8"/>
    </row>
    <row r="4" spans="1:25" s="7" customFormat="1" ht="12.75" customHeight="1" x14ac:dyDescent="0.2">
      <c r="F4" s="9"/>
      <c r="Y4" s="8"/>
    </row>
    <row r="5" spans="1:25" s="7" customFormat="1" ht="12.75" customHeight="1" x14ac:dyDescent="0.2">
      <c r="F5" s="9"/>
      <c r="Y5" s="8"/>
    </row>
    <row r="6" spans="1:25" s="7" customFormat="1" ht="12.75" customHeight="1" x14ac:dyDescent="0.2">
      <c r="F6" s="9"/>
      <c r="Y6" s="8"/>
    </row>
    <row r="7" spans="1:25" ht="12.75" customHeight="1" x14ac:dyDescent="0.2">
      <c r="B7" s="1"/>
      <c r="C7" s="1"/>
      <c r="D7" s="1"/>
      <c r="E7" s="1"/>
    </row>
    <row r="8" spans="1:25" ht="14.25" customHeight="1" x14ac:dyDescent="0.2">
      <c r="A8" s="39" t="s">
        <v>193</v>
      </c>
      <c r="B8" s="1"/>
      <c r="C8" s="1"/>
      <c r="D8" s="1"/>
      <c r="E8" s="1"/>
    </row>
    <row r="9" spans="1:25" ht="12.75" customHeight="1" x14ac:dyDescent="0.2">
      <c r="B9" s="1"/>
      <c r="C9" s="1"/>
      <c r="D9" s="1"/>
      <c r="E9" s="1"/>
    </row>
    <row r="10" spans="1:25" ht="22.5" customHeight="1" x14ac:dyDescent="0.2">
      <c r="A10" s="133" t="s">
        <v>213</v>
      </c>
    </row>
    <row r="11" spans="1:25" x14ac:dyDescent="0.2">
      <c r="A11" s="2"/>
    </row>
    <row r="12" spans="1:25" x14ac:dyDescent="0.2">
      <c r="A12" s="7"/>
      <c r="B12" s="380" t="s">
        <v>265</v>
      </c>
      <c r="C12" s="381"/>
      <c r="D12" s="380" t="s">
        <v>538</v>
      </c>
      <c r="E12" s="381"/>
    </row>
    <row r="13" spans="1:25" ht="38.25" x14ac:dyDescent="0.2">
      <c r="A13" s="130" t="s">
        <v>70</v>
      </c>
      <c r="B13" s="66" t="s">
        <v>15</v>
      </c>
      <c r="C13" s="55" t="s">
        <v>14</v>
      </c>
      <c r="D13" s="66" t="s">
        <v>15</v>
      </c>
      <c r="E13" s="55" t="s">
        <v>14</v>
      </c>
      <c r="F13" s="160"/>
    </row>
    <row r="14" spans="1:25" x14ac:dyDescent="0.2">
      <c r="A14" s="145" t="s">
        <v>69</v>
      </c>
      <c r="B14" s="204">
        <v>126232</v>
      </c>
      <c r="C14" s="205">
        <v>0.74529438159790284</v>
      </c>
      <c r="D14" s="204">
        <v>121359</v>
      </c>
      <c r="E14" s="205">
        <v>0.75491732915313703</v>
      </c>
      <c r="F14" s="297"/>
    </row>
    <row r="15" spans="1:25" x14ac:dyDescent="0.2">
      <c r="A15" s="145" t="s">
        <v>173</v>
      </c>
      <c r="B15" s="206">
        <v>16252</v>
      </c>
      <c r="C15" s="207">
        <v>9.5954467090192008E-2</v>
      </c>
      <c r="D15" s="206">
        <v>14739</v>
      </c>
      <c r="E15" s="207">
        <v>9.1684395177844963E-2</v>
      </c>
      <c r="F15" s="297"/>
    </row>
    <row r="16" spans="1:25" x14ac:dyDescent="0.2">
      <c r="A16" s="145" t="s">
        <v>176</v>
      </c>
      <c r="B16" s="206">
        <v>4250</v>
      </c>
      <c r="C16" s="207">
        <v>2.5092695368774058E-2</v>
      </c>
      <c r="D16" s="206">
        <v>10987</v>
      </c>
      <c r="E16" s="207">
        <v>6.8344965724878387E-2</v>
      </c>
      <c r="F16" s="297"/>
      <c r="G16" s="10"/>
    </row>
    <row r="17" spans="1:10" x14ac:dyDescent="0.2">
      <c r="A17" s="145" t="s">
        <v>175</v>
      </c>
      <c r="B17" s="206">
        <v>7023</v>
      </c>
      <c r="C17" s="207">
        <v>4.1464941076447111E-2</v>
      </c>
      <c r="D17" s="206">
        <v>3746</v>
      </c>
      <c r="E17" s="207">
        <v>2.3302106271538586E-2</v>
      </c>
      <c r="F17" s="297"/>
    </row>
    <row r="18" spans="1:10" x14ac:dyDescent="0.2">
      <c r="A18" s="145" t="s">
        <v>174</v>
      </c>
      <c r="B18" s="206">
        <v>11471</v>
      </c>
      <c r="C18" s="207">
        <v>6.7726660841225236E-2</v>
      </c>
      <c r="D18" s="206">
        <v>6636</v>
      </c>
      <c r="E18" s="207">
        <v>4.1279438659351325E-2</v>
      </c>
      <c r="F18" s="297"/>
    </row>
    <row r="19" spans="1:10" s="10" customFormat="1" x14ac:dyDescent="0.2">
      <c r="A19" s="145" t="s">
        <v>177</v>
      </c>
      <c r="B19" s="206">
        <v>1972</v>
      </c>
      <c r="C19" s="207">
        <v>1.1643010651111164E-2</v>
      </c>
      <c r="D19" s="206">
        <v>1456</v>
      </c>
      <c r="E19" s="207">
        <v>9.057092026524341E-3</v>
      </c>
      <c r="F19" s="297"/>
      <c r="G19" s="1"/>
      <c r="H19" s="1"/>
      <c r="I19" s="1"/>
      <c r="J19" s="1"/>
    </row>
    <row r="20" spans="1:10" x14ac:dyDescent="0.2">
      <c r="A20" s="145" t="s">
        <v>49</v>
      </c>
      <c r="B20" s="206">
        <v>1311</v>
      </c>
      <c r="C20" s="207">
        <v>7.7403585008147743E-3</v>
      </c>
      <c r="D20" s="206">
        <v>1162</v>
      </c>
      <c r="E20" s="207">
        <v>7.2282561365530794E-3</v>
      </c>
      <c r="F20" s="297"/>
      <c r="H20" s="17"/>
    </row>
    <row r="21" spans="1:10" x14ac:dyDescent="0.2">
      <c r="A21" s="145" t="s">
        <v>68</v>
      </c>
      <c r="B21" s="206">
        <v>278</v>
      </c>
      <c r="C21" s="207">
        <v>1.6413574852986326E-3</v>
      </c>
      <c r="D21" s="206">
        <v>285</v>
      </c>
      <c r="E21" s="207">
        <v>1.7728511178292839E-3</v>
      </c>
      <c r="F21" s="297"/>
    </row>
    <row r="22" spans="1:10" x14ac:dyDescent="0.2">
      <c r="A22" s="145" t="s">
        <v>51</v>
      </c>
      <c r="B22" s="206">
        <v>375</v>
      </c>
      <c r="C22" s="207">
        <v>2.2140613560682992E-3</v>
      </c>
      <c r="D22" s="206">
        <v>231</v>
      </c>
      <c r="E22" s="207">
        <v>1.4369424849774194E-3</v>
      </c>
      <c r="F22" s="297"/>
      <c r="H22" s="10"/>
      <c r="I22" s="10"/>
      <c r="J22" s="10"/>
    </row>
    <row r="23" spans="1:10" x14ac:dyDescent="0.2">
      <c r="A23" s="145" t="s">
        <v>67</v>
      </c>
      <c r="B23" s="208">
        <v>208</v>
      </c>
      <c r="C23" s="209">
        <v>1.2280660321658833E-3</v>
      </c>
      <c r="D23" s="208">
        <v>157</v>
      </c>
      <c r="E23" s="209">
        <v>9.7662324736560546E-4</v>
      </c>
      <c r="F23" s="297"/>
    </row>
    <row r="24" spans="1:10" x14ac:dyDescent="0.2">
      <c r="A24" s="286" t="s">
        <v>34</v>
      </c>
      <c r="B24" s="287">
        <f>SUM(B14:B23)</f>
        <v>169372</v>
      </c>
      <c r="C24" s="288">
        <v>1</v>
      </c>
      <c r="D24" s="287">
        <v>160758</v>
      </c>
      <c r="E24" s="288">
        <v>1</v>
      </c>
      <c r="F24" s="297"/>
    </row>
    <row r="25" spans="1:10" x14ac:dyDescent="0.2">
      <c r="A25" s="146" t="s">
        <v>33</v>
      </c>
      <c r="B25" s="208">
        <v>68579</v>
      </c>
      <c r="C25" s="209">
        <v>0.28820639543435411</v>
      </c>
      <c r="D25" s="208">
        <v>75413</v>
      </c>
      <c r="E25" s="209">
        <v>0.31931524192216659</v>
      </c>
      <c r="F25" s="297"/>
    </row>
    <row r="26" spans="1:10" x14ac:dyDescent="0.2">
      <c r="A26" s="81" t="s">
        <v>1</v>
      </c>
      <c r="B26" s="210">
        <v>237951</v>
      </c>
      <c r="C26" s="211">
        <v>1</v>
      </c>
      <c r="D26" s="210">
        <v>236171</v>
      </c>
      <c r="E26" s="211">
        <v>1</v>
      </c>
      <c r="F26" s="297"/>
    </row>
    <row r="27" spans="1:10" x14ac:dyDescent="0.2">
      <c r="A27" s="19"/>
      <c r="B27" s="15"/>
      <c r="C27" s="14"/>
      <c r="D27" s="15"/>
      <c r="E27" s="14"/>
    </row>
    <row r="28" spans="1:10" s="71" customFormat="1" x14ac:dyDescent="0.2">
      <c r="A28" s="328" t="s">
        <v>539</v>
      </c>
      <c r="B28" s="70"/>
      <c r="C28" s="70"/>
      <c r="D28" s="70"/>
      <c r="E28" s="70"/>
      <c r="F28" s="70"/>
      <c r="H28" s="1"/>
      <c r="I28" s="1"/>
      <c r="J28" s="1"/>
    </row>
    <row r="29" spans="1:10" x14ac:dyDescent="0.2">
      <c r="A29" s="13"/>
      <c r="B29" s="6"/>
      <c r="C29" s="5"/>
      <c r="D29" s="6"/>
      <c r="E29" s="5"/>
    </row>
    <row r="30" spans="1:10" x14ac:dyDescent="0.2">
      <c r="A30" s="2" t="s">
        <v>202</v>
      </c>
      <c r="B30" s="1"/>
      <c r="C30" s="1"/>
      <c r="D30" s="1"/>
      <c r="E30" s="1"/>
      <c r="H30" s="71"/>
      <c r="I30" s="71"/>
      <c r="J30" s="71"/>
    </row>
    <row r="31" spans="1:10" x14ac:dyDescent="0.2">
      <c r="A31" s="1" t="s">
        <v>547</v>
      </c>
      <c r="B31" s="1"/>
      <c r="C31" s="1"/>
      <c r="D31" s="1"/>
      <c r="E31" s="1"/>
    </row>
    <row r="32" spans="1:10" x14ac:dyDescent="0.2">
      <c r="A32" s="359" t="s">
        <v>208</v>
      </c>
      <c r="B32" s="359"/>
      <c r="C32" s="359"/>
      <c r="D32" s="359"/>
      <c r="E32" s="359"/>
    </row>
    <row r="33" spans="1:5" x14ac:dyDescent="0.2">
      <c r="A33" s="360" t="s">
        <v>204</v>
      </c>
      <c r="B33" s="360"/>
      <c r="C33" s="360"/>
      <c r="D33" s="360"/>
      <c r="E33" s="360"/>
    </row>
    <row r="34" spans="1:5" ht="25.5" customHeight="1" x14ac:dyDescent="0.2">
      <c r="A34" s="356"/>
      <c r="B34" s="356"/>
      <c r="C34" s="356"/>
      <c r="D34" s="356"/>
      <c r="E34" s="356"/>
    </row>
  </sheetData>
  <mergeCells count="5">
    <mergeCell ref="B12:C12"/>
    <mergeCell ref="D12:E12"/>
    <mergeCell ref="A32:E32"/>
    <mergeCell ref="A33:E33"/>
    <mergeCell ref="A34:E34"/>
  </mergeCells>
  <hyperlinks>
    <hyperlink ref="A8" location="Contents!A1" display="Return to Contents" xr:uid="{00000000-0004-0000-0C00-000000000000}"/>
  </hyperlinks>
  <pageMargins left="0.75" right="0.75" top="1" bottom="1" header="0.5" footer="0.5"/>
  <pageSetup paperSize="9" scale="93" orientation="landscape" r:id="rId1"/>
  <headerFooter alignWithMargins="0"/>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O47"/>
  <sheetViews>
    <sheetView showGridLines="0" zoomScaleNormal="100" workbookViewId="0">
      <selection activeCell="A10" sqref="A10"/>
    </sheetView>
  </sheetViews>
  <sheetFormatPr defaultColWidth="9.140625" defaultRowHeight="12.75" x14ac:dyDescent="0.2"/>
  <cols>
    <col min="1" max="1" width="7.140625" style="1" customWidth="1"/>
    <col min="2" max="2" width="70.85546875" style="1" customWidth="1"/>
    <col min="3" max="8" width="15" style="1" customWidth="1"/>
    <col min="9" max="16384" width="9.140625" style="1"/>
  </cols>
  <sheetData>
    <row r="1" spans="1:14" s="7" customFormat="1" ht="12.75" customHeight="1" x14ac:dyDescent="0.2">
      <c r="D1" s="9"/>
      <c r="G1" s="9"/>
      <c r="N1" s="8"/>
    </row>
    <row r="2" spans="1:14" s="7" customFormat="1" ht="12.75" customHeight="1" x14ac:dyDescent="0.2">
      <c r="D2" s="9"/>
      <c r="G2" s="9"/>
      <c r="N2" s="8"/>
    </row>
    <row r="3" spans="1:14" s="7" customFormat="1" ht="12.75" customHeight="1" x14ac:dyDescent="0.2">
      <c r="D3" s="9"/>
      <c r="G3" s="9"/>
      <c r="N3" s="8"/>
    </row>
    <row r="4" spans="1:14" s="7" customFormat="1" ht="12.75" customHeight="1" x14ac:dyDescent="0.2">
      <c r="D4" s="9"/>
      <c r="G4" s="9"/>
      <c r="N4" s="8"/>
    </row>
    <row r="5" spans="1:14" s="7" customFormat="1" ht="12.75" customHeight="1" x14ac:dyDescent="0.2">
      <c r="D5" s="9"/>
      <c r="G5" s="9"/>
      <c r="N5" s="8"/>
    </row>
    <row r="6" spans="1:14" s="7" customFormat="1" ht="12.75" customHeight="1" x14ac:dyDescent="0.2">
      <c r="D6" s="9"/>
      <c r="G6" s="9"/>
      <c r="N6" s="8"/>
    </row>
    <row r="7" spans="1:14" ht="12.75" customHeight="1" x14ac:dyDescent="0.2"/>
    <row r="8" spans="1:14" ht="14.25" customHeight="1" x14ac:dyDescent="0.2">
      <c r="A8" s="376" t="s">
        <v>193</v>
      </c>
      <c r="B8" s="376"/>
    </row>
    <row r="9" spans="1:14" ht="12.75" customHeight="1" x14ac:dyDescent="0.2"/>
    <row r="10" spans="1:14" ht="22.5" customHeight="1" x14ac:dyDescent="0.2">
      <c r="A10" s="133" t="s">
        <v>234</v>
      </c>
    </row>
    <row r="11" spans="1:14" x14ac:dyDescent="0.2">
      <c r="A11" s="2"/>
    </row>
    <row r="12" spans="1:14" x14ac:dyDescent="0.2">
      <c r="A12" s="7"/>
      <c r="B12" s="7"/>
      <c r="C12" s="380" t="s">
        <v>265</v>
      </c>
      <c r="D12" s="382"/>
      <c r="E12" s="381"/>
      <c r="F12" s="380" t="s">
        <v>538</v>
      </c>
      <c r="G12" s="382"/>
      <c r="H12" s="381"/>
    </row>
    <row r="13" spans="1:14" x14ac:dyDescent="0.2">
      <c r="A13" s="383" t="s">
        <v>151</v>
      </c>
      <c r="B13" s="384"/>
      <c r="C13" s="214" t="s">
        <v>88</v>
      </c>
      <c r="D13" s="215" t="s">
        <v>87</v>
      </c>
      <c r="E13" s="216" t="s">
        <v>1</v>
      </c>
      <c r="F13" s="214" t="s">
        <v>88</v>
      </c>
      <c r="G13" s="215" t="s">
        <v>87</v>
      </c>
      <c r="H13" s="216" t="s">
        <v>1</v>
      </c>
    </row>
    <row r="14" spans="1:14" x14ac:dyDescent="0.2">
      <c r="A14" s="147" t="s">
        <v>86</v>
      </c>
      <c r="B14" s="127" t="s">
        <v>251</v>
      </c>
      <c r="C14" s="198">
        <v>8376</v>
      </c>
      <c r="D14" s="217">
        <v>6848</v>
      </c>
      <c r="E14" s="218">
        <v>15224</v>
      </c>
      <c r="F14" s="198">
        <v>8564</v>
      </c>
      <c r="G14" s="217">
        <v>6916</v>
      </c>
      <c r="H14" s="218">
        <v>15480</v>
      </c>
      <c r="I14" s="194"/>
    </row>
    <row r="15" spans="1:14" x14ac:dyDescent="0.2">
      <c r="A15" s="147" t="s">
        <v>85</v>
      </c>
      <c r="B15" s="127" t="s">
        <v>134</v>
      </c>
      <c r="C15" s="219">
        <v>87</v>
      </c>
      <c r="D15" s="220">
        <v>60</v>
      </c>
      <c r="E15" s="221">
        <v>147</v>
      </c>
      <c r="F15" s="219">
        <v>84</v>
      </c>
      <c r="G15" s="220">
        <v>66</v>
      </c>
      <c r="H15" s="221">
        <v>150</v>
      </c>
      <c r="I15" s="194"/>
    </row>
    <row r="16" spans="1:14" x14ac:dyDescent="0.2">
      <c r="A16" s="147" t="s">
        <v>84</v>
      </c>
      <c r="B16" s="127" t="s">
        <v>255</v>
      </c>
      <c r="C16" s="219">
        <v>3897</v>
      </c>
      <c r="D16" s="220">
        <v>2200</v>
      </c>
      <c r="E16" s="221">
        <v>6097</v>
      </c>
      <c r="F16" s="219">
        <v>3770</v>
      </c>
      <c r="G16" s="220">
        <v>2036</v>
      </c>
      <c r="H16" s="221">
        <v>5806</v>
      </c>
      <c r="I16" s="194"/>
    </row>
    <row r="17" spans="1:9" x14ac:dyDescent="0.2">
      <c r="A17" s="147" t="s">
        <v>83</v>
      </c>
      <c r="B17" s="127" t="s">
        <v>135</v>
      </c>
      <c r="C17" s="219">
        <v>17102</v>
      </c>
      <c r="D17" s="220">
        <v>14833</v>
      </c>
      <c r="E17" s="221">
        <v>31935</v>
      </c>
      <c r="F17" s="219">
        <v>16707</v>
      </c>
      <c r="G17" s="220">
        <v>14322</v>
      </c>
      <c r="H17" s="221">
        <v>31029</v>
      </c>
      <c r="I17" s="194"/>
    </row>
    <row r="18" spans="1:9" x14ac:dyDescent="0.2">
      <c r="A18" s="147" t="s">
        <v>82</v>
      </c>
      <c r="B18" s="127" t="s">
        <v>256</v>
      </c>
      <c r="C18" s="219">
        <v>37624</v>
      </c>
      <c r="D18" s="220">
        <v>15377</v>
      </c>
      <c r="E18" s="221">
        <v>53001</v>
      </c>
      <c r="F18" s="219">
        <v>34874</v>
      </c>
      <c r="G18" s="220">
        <v>14120</v>
      </c>
      <c r="H18" s="221">
        <v>48994</v>
      </c>
      <c r="I18" s="194"/>
    </row>
    <row r="19" spans="1:9" x14ac:dyDescent="0.2">
      <c r="A19" s="147" t="s">
        <v>81</v>
      </c>
      <c r="B19" s="127" t="s">
        <v>136</v>
      </c>
      <c r="C19" s="219">
        <v>20020</v>
      </c>
      <c r="D19" s="220">
        <v>17313</v>
      </c>
      <c r="E19" s="221">
        <v>37333</v>
      </c>
      <c r="F19" s="219">
        <v>19931</v>
      </c>
      <c r="G19" s="220">
        <v>17612</v>
      </c>
      <c r="H19" s="221">
        <v>37543</v>
      </c>
      <c r="I19" s="194"/>
    </row>
    <row r="20" spans="1:9" x14ac:dyDescent="0.2">
      <c r="A20" s="147" t="s">
        <v>80</v>
      </c>
      <c r="B20" s="127" t="s">
        <v>137</v>
      </c>
      <c r="C20" s="219">
        <v>5737</v>
      </c>
      <c r="D20" s="220">
        <v>4542</v>
      </c>
      <c r="E20" s="221">
        <v>10279</v>
      </c>
      <c r="F20" s="219">
        <v>5627</v>
      </c>
      <c r="G20" s="220">
        <v>4304</v>
      </c>
      <c r="H20" s="221">
        <v>9931</v>
      </c>
      <c r="I20" s="194"/>
    </row>
    <row r="21" spans="1:9" x14ac:dyDescent="0.2">
      <c r="A21" s="147" t="s">
        <v>79</v>
      </c>
      <c r="B21" s="127" t="s">
        <v>138</v>
      </c>
      <c r="C21" s="219">
        <v>6208</v>
      </c>
      <c r="D21" s="220">
        <v>5728</v>
      </c>
      <c r="E21" s="221">
        <v>11936</v>
      </c>
      <c r="F21" s="219">
        <v>6394</v>
      </c>
      <c r="G21" s="220">
        <v>5871</v>
      </c>
      <c r="H21" s="221">
        <v>12265</v>
      </c>
      <c r="I21" s="194"/>
    </row>
    <row r="22" spans="1:9" x14ac:dyDescent="0.2">
      <c r="A22" s="147" t="s">
        <v>78</v>
      </c>
      <c r="B22" s="127" t="s">
        <v>139</v>
      </c>
      <c r="C22" s="219">
        <v>804</v>
      </c>
      <c r="D22" s="220">
        <v>1054</v>
      </c>
      <c r="E22" s="221">
        <v>1858</v>
      </c>
      <c r="F22" s="219">
        <v>880</v>
      </c>
      <c r="G22" s="220">
        <v>1147</v>
      </c>
      <c r="H22" s="221">
        <v>2027</v>
      </c>
      <c r="I22" s="194"/>
    </row>
    <row r="23" spans="1:9" x14ac:dyDescent="0.2">
      <c r="A23" s="147" t="s">
        <v>77</v>
      </c>
      <c r="B23" s="127" t="s">
        <v>140</v>
      </c>
      <c r="C23" s="219">
        <v>2091</v>
      </c>
      <c r="D23" s="220">
        <v>2445</v>
      </c>
      <c r="E23" s="221">
        <v>4536</v>
      </c>
      <c r="F23" s="219">
        <v>2130</v>
      </c>
      <c r="G23" s="220">
        <v>2299</v>
      </c>
      <c r="H23" s="221">
        <v>4429</v>
      </c>
      <c r="I23" s="194"/>
    </row>
    <row r="24" spans="1:9" x14ac:dyDescent="0.2">
      <c r="A24" s="147" t="s">
        <v>76</v>
      </c>
      <c r="B24" s="127" t="s">
        <v>141</v>
      </c>
      <c r="C24" s="219">
        <v>6777</v>
      </c>
      <c r="D24" s="220">
        <v>3816</v>
      </c>
      <c r="E24" s="221">
        <v>10593</v>
      </c>
      <c r="F24" s="219">
        <v>6736</v>
      </c>
      <c r="G24" s="220">
        <v>4062</v>
      </c>
      <c r="H24" s="221">
        <v>10798</v>
      </c>
      <c r="I24" s="194"/>
    </row>
    <row r="25" spans="1:9" x14ac:dyDescent="0.2">
      <c r="A25" s="147" t="s">
        <v>75</v>
      </c>
      <c r="B25" s="127" t="s">
        <v>142</v>
      </c>
      <c r="C25" s="219">
        <v>5</v>
      </c>
      <c r="D25" s="220">
        <v>2572</v>
      </c>
      <c r="E25" s="221">
        <v>2577</v>
      </c>
      <c r="F25" s="219">
        <v>2</v>
      </c>
      <c r="G25" s="220">
        <v>2404</v>
      </c>
      <c r="H25" s="221">
        <v>2406</v>
      </c>
      <c r="I25" s="194"/>
    </row>
    <row r="26" spans="1:9" x14ac:dyDescent="0.2">
      <c r="A26" s="147" t="s">
        <v>74</v>
      </c>
      <c r="B26" s="127" t="s">
        <v>143</v>
      </c>
      <c r="C26" s="226"/>
      <c r="D26" s="220">
        <v>5020</v>
      </c>
      <c r="E26" s="221">
        <v>5020</v>
      </c>
      <c r="F26" s="226"/>
      <c r="G26" s="220">
        <v>5210</v>
      </c>
      <c r="H26" s="221">
        <v>5210</v>
      </c>
      <c r="I26" s="194"/>
    </row>
    <row r="27" spans="1:9" x14ac:dyDescent="0.2">
      <c r="A27" s="147" t="s">
        <v>73</v>
      </c>
      <c r="B27" s="127" t="s">
        <v>144</v>
      </c>
      <c r="C27" s="219">
        <v>451</v>
      </c>
      <c r="D27" s="220">
        <v>504</v>
      </c>
      <c r="E27" s="221">
        <v>955</v>
      </c>
      <c r="F27" s="219">
        <v>476</v>
      </c>
      <c r="G27" s="220">
        <v>414</v>
      </c>
      <c r="H27" s="221">
        <v>890</v>
      </c>
      <c r="I27" s="194"/>
    </row>
    <row r="28" spans="1:9" x14ac:dyDescent="0.2">
      <c r="A28" s="147" t="s">
        <v>252</v>
      </c>
      <c r="B28" s="127" t="s">
        <v>253</v>
      </c>
      <c r="C28" s="346"/>
      <c r="D28" s="334"/>
      <c r="E28" s="221"/>
      <c r="F28" s="334"/>
      <c r="G28" s="334"/>
      <c r="H28" s="221"/>
      <c r="I28" s="194"/>
    </row>
    <row r="29" spans="1:9" x14ac:dyDescent="0.2">
      <c r="A29" s="147" t="s">
        <v>72</v>
      </c>
      <c r="B29" s="148" t="s">
        <v>145</v>
      </c>
      <c r="C29" s="219">
        <v>1334</v>
      </c>
      <c r="D29" s="220">
        <v>1072</v>
      </c>
      <c r="E29" s="221">
        <v>2406</v>
      </c>
      <c r="F29" s="219">
        <v>1137</v>
      </c>
      <c r="G29" s="220">
        <v>905</v>
      </c>
      <c r="H29" s="221">
        <v>2042</v>
      </c>
      <c r="I29" s="194"/>
    </row>
    <row r="30" spans="1:9" x14ac:dyDescent="0.2">
      <c r="A30" s="147" t="s">
        <v>71</v>
      </c>
      <c r="B30" s="127" t="s">
        <v>146</v>
      </c>
      <c r="C30" s="219">
        <v>2565</v>
      </c>
      <c r="D30" s="220">
        <v>1940</v>
      </c>
      <c r="E30" s="221">
        <v>4505</v>
      </c>
      <c r="F30" s="219">
        <v>2705</v>
      </c>
      <c r="G30" s="220">
        <v>2125</v>
      </c>
      <c r="H30" s="221">
        <v>4830</v>
      </c>
      <c r="I30" s="194"/>
    </row>
    <row r="31" spans="1:9" x14ac:dyDescent="0.2">
      <c r="A31" s="147" t="s">
        <v>147</v>
      </c>
      <c r="B31" s="127" t="s">
        <v>148</v>
      </c>
      <c r="C31" s="219">
        <v>4505</v>
      </c>
      <c r="D31" s="220">
        <v>1724</v>
      </c>
      <c r="E31" s="221">
        <v>6229</v>
      </c>
      <c r="F31" s="219">
        <v>4755</v>
      </c>
      <c r="G31" s="220">
        <v>1868</v>
      </c>
      <c r="H31" s="221">
        <v>6623</v>
      </c>
      <c r="I31" s="194"/>
    </row>
    <row r="32" spans="1:9" x14ac:dyDescent="0.2">
      <c r="A32" s="147" t="s">
        <v>149</v>
      </c>
      <c r="B32" s="148" t="s">
        <v>254</v>
      </c>
      <c r="C32" s="219">
        <v>5824</v>
      </c>
      <c r="D32" s="220">
        <v>4905</v>
      </c>
      <c r="E32" s="221">
        <v>10729</v>
      </c>
      <c r="F32" s="219">
        <v>6011</v>
      </c>
      <c r="G32" s="220">
        <v>5184</v>
      </c>
      <c r="H32" s="221">
        <v>11195</v>
      </c>
      <c r="I32" s="194"/>
    </row>
    <row r="33" spans="1:15" x14ac:dyDescent="0.2">
      <c r="A33" s="147" t="s">
        <v>233</v>
      </c>
      <c r="B33" s="148" t="s">
        <v>257</v>
      </c>
      <c r="C33" s="336">
        <v>12988</v>
      </c>
      <c r="D33" s="337">
        <v>7633</v>
      </c>
      <c r="E33" s="222">
        <v>20621</v>
      </c>
      <c r="F33" s="219">
        <v>12893</v>
      </c>
      <c r="G33" s="220">
        <v>7974</v>
      </c>
      <c r="H33" s="222">
        <v>20867</v>
      </c>
      <c r="I33" s="194"/>
    </row>
    <row r="34" spans="1:15" x14ac:dyDescent="0.2">
      <c r="A34" s="289"/>
      <c r="B34" s="274" t="s">
        <v>34</v>
      </c>
      <c r="C34" s="285">
        <v>136395</v>
      </c>
      <c r="D34" s="290">
        <v>99586</v>
      </c>
      <c r="E34" s="165">
        <v>235981</v>
      </c>
      <c r="F34" s="285">
        <v>133676</v>
      </c>
      <c r="G34" s="290">
        <v>98839</v>
      </c>
      <c r="H34" s="165">
        <v>232515</v>
      </c>
      <c r="I34" s="194"/>
    </row>
    <row r="35" spans="1:15" x14ac:dyDescent="0.2">
      <c r="A35" s="84"/>
      <c r="B35" s="149" t="s">
        <v>150</v>
      </c>
      <c r="C35" s="223">
        <v>1083</v>
      </c>
      <c r="D35" s="224">
        <v>843</v>
      </c>
      <c r="E35" s="225">
        <v>1926</v>
      </c>
      <c r="F35" s="285">
        <v>0</v>
      </c>
      <c r="G35" s="290">
        <v>0</v>
      </c>
      <c r="H35" s="165">
        <v>0</v>
      </c>
      <c r="I35" s="194"/>
    </row>
    <row r="36" spans="1:15" s="71" customFormat="1" x14ac:dyDescent="0.2">
      <c r="A36" s="82"/>
      <c r="B36" s="83" t="s">
        <v>1</v>
      </c>
      <c r="C36" s="285">
        <v>137478</v>
      </c>
      <c r="D36" s="290">
        <v>100429</v>
      </c>
      <c r="E36" s="165">
        <v>237907</v>
      </c>
      <c r="F36" s="285">
        <v>133676</v>
      </c>
      <c r="G36" s="290">
        <v>98839</v>
      </c>
      <c r="H36" s="165">
        <v>232515</v>
      </c>
      <c r="I36" s="1"/>
      <c r="J36" s="1"/>
      <c r="K36" s="1"/>
      <c r="L36" s="1"/>
      <c r="M36" s="1"/>
      <c r="N36" s="1"/>
      <c r="O36" s="1"/>
    </row>
    <row r="37" spans="1:15" x14ac:dyDescent="0.2">
      <c r="A37" s="20"/>
      <c r="B37" s="20"/>
      <c r="C37" s="6"/>
      <c r="D37" s="6"/>
      <c r="E37" s="6"/>
      <c r="F37" s="6"/>
      <c r="G37" s="6"/>
      <c r="H37" s="6"/>
      <c r="I37" s="71"/>
      <c r="J37" s="71"/>
    </row>
    <row r="38" spans="1:15" x14ac:dyDescent="0.2">
      <c r="A38" s="328" t="s">
        <v>539</v>
      </c>
      <c r="B38" s="70"/>
      <c r="C38" s="70"/>
      <c r="D38" s="70"/>
      <c r="E38" s="70"/>
      <c r="F38" s="70"/>
      <c r="G38" s="71"/>
      <c r="H38" s="71"/>
      <c r="K38" s="71"/>
      <c r="L38" s="71"/>
      <c r="M38" s="71"/>
      <c r="N38" s="71"/>
      <c r="O38" s="71"/>
    </row>
    <row r="39" spans="1:15" x14ac:dyDescent="0.2">
      <c r="A39" s="20"/>
      <c r="B39" s="20"/>
      <c r="C39" s="6"/>
      <c r="D39" s="6"/>
      <c r="E39" s="6"/>
      <c r="F39" s="6"/>
      <c r="G39" s="6"/>
      <c r="H39" s="6"/>
    </row>
    <row r="40" spans="1:15" s="35" customFormat="1" x14ac:dyDescent="0.2">
      <c r="A40" s="2" t="s">
        <v>202</v>
      </c>
      <c r="B40" s="1"/>
      <c r="C40" s="1"/>
      <c r="D40" s="1"/>
      <c r="E40" s="1"/>
      <c r="F40" s="1"/>
      <c r="G40" s="1"/>
      <c r="H40" s="1"/>
      <c r="I40" s="1"/>
      <c r="J40" s="1"/>
      <c r="K40" s="1"/>
      <c r="L40" s="1"/>
      <c r="M40" s="1"/>
      <c r="N40" s="1"/>
      <c r="O40" s="1"/>
    </row>
    <row r="41" spans="1:15" s="35" customFormat="1" x14ac:dyDescent="0.2">
      <c r="A41" s="387" t="s">
        <v>235</v>
      </c>
      <c r="B41" s="387"/>
      <c r="C41" s="387"/>
      <c r="D41" s="387"/>
      <c r="E41" s="387"/>
      <c r="F41" s="387"/>
      <c r="G41" s="387"/>
      <c r="H41" s="387"/>
      <c r="K41" s="1"/>
      <c r="L41" s="1"/>
      <c r="M41" s="1"/>
      <c r="N41" s="1"/>
      <c r="O41" s="1"/>
    </row>
    <row r="42" spans="1:15" s="35" customFormat="1" ht="12.75" customHeight="1" x14ac:dyDescent="0.2">
      <c r="A42" s="386" t="s">
        <v>249</v>
      </c>
      <c r="B42" s="386"/>
      <c r="C42" s="386"/>
      <c r="D42" s="386"/>
      <c r="E42" s="386"/>
      <c r="F42" s="386"/>
      <c r="G42" s="386"/>
      <c r="H42" s="386"/>
    </row>
    <row r="43" spans="1:15" x14ac:dyDescent="0.2">
      <c r="A43" s="166" t="s">
        <v>236</v>
      </c>
      <c r="B43" s="166"/>
      <c r="C43" s="166"/>
      <c r="D43" s="166"/>
      <c r="E43" s="166"/>
      <c r="F43" s="34"/>
      <c r="G43" s="34"/>
      <c r="H43" s="35"/>
      <c r="I43" s="35"/>
      <c r="J43" s="35"/>
      <c r="K43" s="35"/>
      <c r="L43" s="35"/>
      <c r="M43" s="35"/>
      <c r="N43" s="35"/>
      <c r="O43" s="35"/>
    </row>
    <row r="44" spans="1:15" ht="12.75" customHeight="1" x14ac:dyDescent="0.2">
      <c r="A44" s="385" t="s">
        <v>548</v>
      </c>
      <c r="B44" s="385"/>
      <c r="C44" s="385"/>
      <c r="D44" s="385"/>
      <c r="E44" s="385"/>
      <c r="F44" s="385"/>
      <c r="G44" s="385"/>
      <c r="H44" s="385"/>
      <c r="K44" s="35"/>
      <c r="L44" s="35"/>
      <c r="M44" s="35"/>
      <c r="N44" s="35"/>
      <c r="O44" s="35"/>
    </row>
    <row r="45" spans="1:15" ht="12.75" customHeight="1" x14ac:dyDescent="0.2">
      <c r="A45" s="359" t="s">
        <v>549</v>
      </c>
      <c r="B45" s="359"/>
      <c r="C45" s="359"/>
      <c r="D45" s="359"/>
      <c r="E45" s="359"/>
      <c r="F45" s="359"/>
      <c r="G45" s="359"/>
      <c r="H45" s="359"/>
    </row>
    <row r="46" spans="1:15" ht="12.75" customHeight="1" x14ac:dyDescent="0.2">
      <c r="A46" s="360" t="s">
        <v>209</v>
      </c>
      <c r="B46" s="360"/>
      <c r="C46" s="360"/>
      <c r="D46" s="360"/>
      <c r="E46" s="360"/>
      <c r="F46" s="360"/>
      <c r="G46" s="360"/>
      <c r="H46" s="360"/>
    </row>
    <row r="47" spans="1:15" x14ac:dyDescent="0.2">
      <c r="A47" s="356"/>
      <c r="B47" s="356"/>
      <c r="C47" s="356"/>
      <c r="D47" s="356"/>
      <c r="E47" s="356"/>
    </row>
  </sheetData>
  <mergeCells count="10">
    <mergeCell ref="A47:E47"/>
    <mergeCell ref="A8:B8"/>
    <mergeCell ref="F12:H12"/>
    <mergeCell ref="A13:B13"/>
    <mergeCell ref="C12:E12"/>
    <mergeCell ref="A46:H46"/>
    <mergeCell ref="A45:H45"/>
    <mergeCell ref="A44:H44"/>
    <mergeCell ref="A42:H42"/>
    <mergeCell ref="A41:H41"/>
  </mergeCells>
  <hyperlinks>
    <hyperlink ref="A8" location="Contents!A1" display="Return to Contents" xr:uid="{00000000-0004-0000-0D00-000000000000}"/>
    <hyperlink ref="A43:E43" r:id="rId1" display="https://digital.nhs.uk/binaries/content/assets/legacy/pdf/n/d/hrg4__201718_local_payment_grouper_summary_of_changes_v1.2.pdf" xr:uid="{00000000-0004-0000-0D00-000001000000}"/>
  </hyperlinks>
  <pageMargins left="0.75" right="0.75" top="1" bottom="1" header="0.5" footer="0.5"/>
  <pageSetup paperSize="9" scale="88" fitToHeight="0" orientation="landscape" r:id="rId2"/>
  <headerFooter alignWithMargins="0"/>
  <drawing r:id="rId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Y37"/>
  <sheetViews>
    <sheetView showGridLines="0" zoomScaleNormal="100" workbookViewId="0">
      <selection activeCell="A10" sqref="A10"/>
    </sheetView>
  </sheetViews>
  <sheetFormatPr defaultColWidth="9.140625" defaultRowHeight="12.75" x14ac:dyDescent="0.2"/>
  <cols>
    <col min="1" max="1" width="32" style="1" customWidth="1"/>
    <col min="2" max="10" width="11.85546875" style="1" customWidth="1"/>
    <col min="11" max="11" width="13" style="1" customWidth="1"/>
    <col min="12" max="13" width="11.85546875" style="1" customWidth="1"/>
    <col min="14" max="14" width="4.85546875" style="1" customWidth="1"/>
    <col min="15" max="15" width="14.5703125" style="1" bestFit="1" customWidth="1"/>
    <col min="16" max="16" width="31.7109375" style="1" customWidth="1"/>
    <col min="17" max="17" width="22" style="1" bestFit="1" customWidth="1"/>
    <col min="18" max="16384" width="9.140625" style="1"/>
  </cols>
  <sheetData>
    <row r="1" spans="1:25" s="7" customFormat="1" ht="12.75" customHeight="1" x14ac:dyDescent="0.2">
      <c r="D1" s="9"/>
      <c r="F1" s="9"/>
      <c r="J1" s="9"/>
      <c r="L1" s="9"/>
      <c r="P1" s="8"/>
    </row>
    <row r="2" spans="1:25" s="7" customFormat="1" ht="12.75" customHeight="1" x14ac:dyDescent="0.2">
      <c r="D2" s="9"/>
      <c r="F2" s="9"/>
      <c r="J2" s="9"/>
      <c r="L2" s="9"/>
      <c r="P2" s="8"/>
    </row>
    <row r="3" spans="1:25" s="7" customFormat="1" ht="12.75" customHeight="1" x14ac:dyDescent="0.2">
      <c r="D3" s="9"/>
      <c r="F3" s="9"/>
      <c r="J3" s="9"/>
      <c r="L3" s="9"/>
      <c r="P3" s="8"/>
    </row>
    <row r="4" spans="1:25" s="7" customFormat="1" ht="12.75" customHeight="1" x14ac:dyDescent="0.2">
      <c r="D4" s="9"/>
      <c r="F4" s="9"/>
      <c r="J4" s="9"/>
      <c r="L4" s="9"/>
      <c r="P4" s="8"/>
    </row>
    <row r="5" spans="1:25" s="7" customFormat="1" ht="12.75" customHeight="1" x14ac:dyDescent="0.2">
      <c r="D5" s="9"/>
      <c r="F5" s="9"/>
      <c r="J5" s="9"/>
      <c r="L5" s="9"/>
      <c r="P5" s="8"/>
    </row>
    <row r="6" spans="1:25" s="7" customFormat="1" ht="12.75" customHeight="1" x14ac:dyDescent="0.2">
      <c r="D6" s="9"/>
      <c r="F6" s="9"/>
      <c r="J6" s="9"/>
      <c r="L6" s="9"/>
      <c r="P6" s="8"/>
    </row>
    <row r="7" spans="1:25" ht="12.75" customHeight="1" x14ac:dyDescent="0.2"/>
    <row r="8" spans="1:25" ht="14.25" customHeight="1" x14ac:dyDescent="0.2">
      <c r="A8" s="39" t="s">
        <v>193</v>
      </c>
    </row>
    <row r="9" spans="1:25" ht="12.75" customHeight="1" x14ac:dyDescent="0.2"/>
    <row r="10" spans="1:25" ht="22.5" customHeight="1" x14ac:dyDescent="0.2">
      <c r="A10" s="133" t="s">
        <v>553</v>
      </c>
      <c r="F10" s="22"/>
      <c r="Q10" s="17"/>
      <c r="R10" s="17"/>
      <c r="S10" s="17"/>
      <c r="T10" s="17"/>
      <c r="U10" s="17"/>
      <c r="V10" s="17"/>
      <c r="W10" s="17"/>
    </row>
    <row r="11" spans="1:25" x14ac:dyDescent="0.2">
      <c r="A11" s="2"/>
    </row>
    <row r="12" spans="1:25" x14ac:dyDescent="0.2">
      <c r="A12" s="2"/>
    </row>
    <row r="13" spans="1:25" x14ac:dyDescent="0.2">
      <c r="B13" s="380" t="s">
        <v>265</v>
      </c>
      <c r="C13" s="382"/>
      <c r="D13" s="382"/>
      <c r="E13" s="382"/>
      <c r="F13" s="382"/>
      <c r="G13" s="381"/>
      <c r="H13" s="380" t="s">
        <v>538</v>
      </c>
      <c r="I13" s="382"/>
      <c r="J13" s="382"/>
      <c r="K13" s="382"/>
      <c r="L13" s="382"/>
      <c r="M13" s="381"/>
    </row>
    <row r="14" spans="1:25" s="17" customFormat="1" ht="42" customHeight="1" x14ac:dyDescent="0.2">
      <c r="A14" s="16"/>
      <c r="B14" s="388" t="s">
        <v>94</v>
      </c>
      <c r="C14" s="389"/>
      <c r="D14" s="388" t="s">
        <v>93</v>
      </c>
      <c r="E14" s="389"/>
      <c r="F14" s="388" t="s">
        <v>92</v>
      </c>
      <c r="G14" s="389"/>
      <c r="H14" s="388" t="s">
        <v>94</v>
      </c>
      <c r="I14" s="389"/>
      <c r="J14" s="388" t="s">
        <v>93</v>
      </c>
      <c r="K14" s="389"/>
      <c r="L14" s="388" t="s">
        <v>92</v>
      </c>
      <c r="M14" s="389"/>
    </row>
    <row r="15" spans="1:25" x14ac:dyDescent="0.2">
      <c r="A15" s="313" t="s">
        <v>91</v>
      </c>
      <c r="B15" s="250" t="s">
        <v>90</v>
      </c>
      <c r="C15" s="251" t="s">
        <v>87</v>
      </c>
      <c r="D15" s="250" t="s">
        <v>90</v>
      </c>
      <c r="E15" s="251" t="s">
        <v>87</v>
      </c>
      <c r="F15" s="298" t="s">
        <v>90</v>
      </c>
      <c r="G15" s="251" t="s">
        <v>87</v>
      </c>
      <c r="H15" s="250" t="s">
        <v>90</v>
      </c>
      <c r="I15" s="251" t="s">
        <v>87</v>
      </c>
      <c r="J15" s="250" t="s">
        <v>90</v>
      </c>
      <c r="K15" s="251" t="s">
        <v>87</v>
      </c>
      <c r="L15" s="298" t="s">
        <v>90</v>
      </c>
      <c r="M15" s="251" t="s">
        <v>87</v>
      </c>
    </row>
    <row r="16" spans="1:25" ht="14.25" x14ac:dyDescent="0.2">
      <c r="A16" s="305" t="s">
        <v>554</v>
      </c>
      <c r="B16" s="252">
        <v>102184</v>
      </c>
      <c r="C16" s="253">
        <v>74997</v>
      </c>
      <c r="D16" s="254">
        <v>506411</v>
      </c>
      <c r="E16" s="253">
        <v>335634</v>
      </c>
      <c r="F16" s="255">
        <v>4.9558737179989043</v>
      </c>
      <c r="G16" s="256">
        <v>4.4752990119604785</v>
      </c>
      <c r="H16" s="252">
        <v>100548</v>
      </c>
      <c r="I16" s="253">
        <v>74424</v>
      </c>
      <c r="J16" s="254">
        <v>480040</v>
      </c>
      <c r="K16" s="253">
        <v>327955</v>
      </c>
      <c r="L16" s="255">
        <v>4.7742371802522179</v>
      </c>
      <c r="M16" s="256">
        <v>4.4065758357519078</v>
      </c>
      <c r="O16" s="194"/>
      <c r="P16" s="194"/>
      <c r="Q16" s="322"/>
      <c r="T16" s="194"/>
      <c r="U16" s="194"/>
      <c r="V16" s="322"/>
      <c r="W16" s="2"/>
      <c r="X16" s="2"/>
      <c r="Y16" s="2"/>
    </row>
    <row r="17" spans="1:25" ht="14.25" x14ac:dyDescent="0.2">
      <c r="A17" s="305" t="s">
        <v>555</v>
      </c>
      <c r="B17" s="257">
        <v>52419</v>
      </c>
      <c r="C17" s="258">
        <v>28987</v>
      </c>
      <c r="D17" s="259">
        <v>295008</v>
      </c>
      <c r="E17" s="258">
        <v>167651</v>
      </c>
      <c r="F17" s="260">
        <v>5.6278830195158243</v>
      </c>
      <c r="G17" s="261">
        <v>5.7836616414254669</v>
      </c>
      <c r="H17" s="257">
        <v>50968</v>
      </c>
      <c r="I17" s="258">
        <v>27747</v>
      </c>
      <c r="J17" s="259">
        <v>263648</v>
      </c>
      <c r="K17" s="258">
        <v>155341</v>
      </c>
      <c r="L17" s="260">
        <v>5.1728143148642287</v>
      </c>
      <c r="M17" s="261">
        <v>5.5984791148592636</v>
      </c>
      <c r="O17" s="194"/>
      <c r="P17" s="194"/>
      <c r="Q17" s="322"/>
      <c r="T17" s="194"/>
      <c r="U17" s="194"/>
    </row>
    <row r="18" spans="1:25" x14ac:dyDescent="0.2">
      <c r="A18" s="305" t="s">
        <v>195</v>
      </c>
      <c r="B18" s="257">
        <v>29499</v>
      </c>
      <c r="C18" s="258">
        <v>19375</v>
      </c>
      <c r="D18" s="259">
        <v>281912</v>
      </c>
      <c r="E18" s="258">
        <v>168908</v>
      </c>
      <c r="F18" s="260">
        <v>9.5566629377267027</v>
      </c>
      <c r="G18" s="261">
        <v>8.7178322580645169</v>
      </c>
      <c r="H18" s="257">
        <v>22984</v>
      </c>
      <c r="I18" s="258">
        <v>14829</v>
      </c>
      <c r="J18" s="259">
        <v>210953</v>
      </c>
      <c r="K18" s="258">
        <v>129983</v>
      </c>
      <c r="L18" s="260">
        <v>9.178254437869823</v>
      </c>
      <c r="M18" s="261">
        <v>8.7654595724593705</v>
      </c>
      <c r="O18" s="194"/>
      <c r="P18" s="194"/>
      <c r="Q18" s="322"/>
      <c r="T18" s="194"/>
      <c r="U18" s="194"/>
    </row>
    <row r="19" spans="1:25" ht="14.25" x14ac:dyDescent="0.2">
      <c r="A19" s="305" t="s">
        <v>556</v>
      </c>
      <c r="B19" s="257">
        <v>63324</v>
      </c>
      <c r="C19" s="258">
        <v>43760</v>
      </c>
      <c r="D19" s="259">
        <v>208928</v>
      </c>
      <c r="E19" s="258">
        <v>144013</v>
      </c>
      <c r="F19" s="260">
        <v>3.2993493778030447</v>
      </c>
      <c r="G19" s="261">
        <v>3.2909734917733089</v>
      </c>
      <c r="H19" s="257">
        <v>60467</v>
      </c>
      <c r="I19" s="258">
        <v>41960</v>
      </c>
      <c r="J19" s="259">
        <v>195138</v>
      </c>
      <c r="K19" s="258">
        <v>137966</v>
      </c>
      <c r="L19" s="260">
        <v>3.2271817685679793</v>
      </c>
      <c r="M19" s="261">
        <v>3.2880362249761679</v>
      </c>
      <c r="O19" s="194"/>
      <c r="P19" s="194"/>
      <c r="Q19" s="322"/>
      <c r="T19" s="194"/>
      <c r="U19" s="194"/>
    </row>
    <row r="20" spans="1:25" ht="14.25" x14ac:dyDescent="0.2">
      <c r="A20" s="305" t="s">
        <v>557</v>
      </c>
      <c r="B20" s="257">
        <v>34117</v>
      </c>
      <c r="C20" s="258">
        <v>16846</v>
      </c>
      <c r="D20" s="259">
        <v>112179</v>
      </c>
      <c r="E20" s="258">
        <v>54820</v>
      </c>
      <c r="F20" s="260">
        <v>3.2880675323152682</v>
      </c>
      <c r="G20" s="261">
        <v>3.2541849697257508</v>
      </c>
      <c r="H20" s="257">
        <v>31674</v>
      </c>
      <c r="I20" s="258">
        <v>15530</v>
      </c>
      <c r="J20" s="259">
        <v>100387</v>
      </c>
      <c r="K20" s="258">
        <v>48240</v>
      </c>
      <c r="L20" s="260">
        <v>3.1693818273662941</v>
      </c>
      <c r="M20" s="261">
        <v>3.1062459755312299</v>
      </c>
      <c r="O20" s="194"/>
      <c r="P20" s="194"/>
      <c r="Q20" s="322"/>
      <c r="T20" s="194"/>
      <c r="U20" s="194"/>
    </row>
    <row r="21" spans="1:25" ht="14.25" x14ac:dyDescent="0.2">
      <c r="A21" s="305" t="s">
        <v>558</v>
      </c>
      <c r="B21" s="257">
        <v>12188</v>
      </c>
      <c r="C21" s="258">
        <v>7759</v>
      </c>
      <c r="D21" s="259">
        <v>74941</v>
      </c>
      <c r="E21" s="258">
        <v>41187</v>
      </c>
      <c r="F21" s="260">
        <v>6.1487528716770594</v>
      </c>
      <c r="G21" s="261">
        <v>5.3082871504059801</v>
      </c>
      <c r="H21" s="257">
        <v>11764</v>
      </c>
      <c r="I21" s="258">
        <v>7453</v>
      </c>
      <c r="J21" s="259">
        <v>67203</v>
      </c>
      <c r="K21" s="258">
        <v>38877</v>
      </c>
      <c r="L21" s="260">
        <v>5.7125977558653522</v>
      </c>
      <c r="M21" s="261">
        <v>5.216288742788139</v>
      </c>
      <c r="O21" s="194"/>
      <c r="P21" s="194"/>
      <c r="Q21" s="322"/>
      <c r="T21" s="194"/>
      <c r="U21" s="194"/>
      <c r="W21" s="71"/>
      <c r="X21" s="71"/>
      <c r="Y21" s="71"/>
    </row>
    <row r="22" spans="1:25" ht="14.25" x14ac:dyDescent="0.2">
      <c r="A22" s="305" t="s">
        <v>559</v>
      </c>
      <c r="B22" s="257">
        <v>14304</v>
      </c>
      <c r="C22" s="258">
        <v>11053</v>
      </c>
      <c r="D22" s="259">
        <v>75447</v>
      </c>
      <c r="E22" s="258">
        <v>50616</v>
      </c>
      <c r="F22" s="260">
        <v>5.2745385906040267</v>
      </c>
      <c r="G22" s="261">
        <v>4.5793902108024973</v>
      </c>
      <c r="H22" s="257">
        <v>11363</v>
      </c>
      <c r="I22" s="258">
        <v>7839</v>
      </c>
      <c r="J22" s="259">
        <v>58671</v>
      </c>
      <c r="K22" s="258">
        <v>40610</v>
      </c>
      <c r="L22" s="260">
        <v>5.1633371468802256</v>
      </c>
      <c r="M22" s="261">
        <v>5.1805077178211505</v>
      </c>
      <c r="O22" s="194"/>
      <c r="P22" s="194"/>
      <c r="Q22" s="322"/>
      <c r="T22" s="194"/>
      <c r="U22" s="194"/>
    </row>
    <row r="23" spans="1:25" ht="14.25" x14ac:dyDescent="0.2">
      <c r="A23" s="305" t="s">
        <v>560</v>
      </c>
      <c r="B23" s="257">
        <v>4866</v>
      </c>
      <c r="C23" s="258">
        <v>2810</v>
      </c>
      <c r="D23" s="259">
        <v>30237</v>
      </c>
      <c r="E23" s="258">
        <v>16784</v>
      </c>
      <c r="F23" s="260">
        <v>6.213933415536375</v>
      </c>
      <c r="G23" s="261">
        <v>5.9729537366548042</v>
      </c>
      <c r="H23" s="257">
        <v>11082</v>
      </c>
      <c r="I23" s="258">
        <v>6699</v>
      </c>
      <c r="J23" s="259">
        <v>89481</v>
      </c>
      <c r="K23" s="258">
        <v>54058</v>
      </c>
      <c r="L23" s="260">
        <v>8.0744450460205748</v>
      </c>
      <c r="M23" s="261">
        <v>8.0695626212867584</v>
      </c>
      <c r="O23" s="194"/>
      <c r="P23" s="194"/>
      <c r="Q23" s="322"/>
      <c r="T23" s="194"/>
      <c r="U23" s="194"/>
    </row>
    <row r="24" spans="1:25" ht="14.25" x14ac:dyDescent="0.2">
      <c r="A24" s="305" t="s">
        <v>550</v>
      </c>
      <c r="B24" s="257">
        <v>2073</v>
      </c>
      <c r="C24" s="258">
        <v>1588</v>
      </c>
      <c r="D24" s="259">
        <v>9115</v>
      </c>
      <c r="E24" s="258">
        <v>6195</v>
      </c>
      <c r="F24" s="260">
        <v>4.3970091654606849</v>
      </c>
      <c r="G24" s="261">
        <v>3.9011335012594457</v>
      </c>
      <c r="H24" s="257">
        <v>2162</v>
      </c>
      <c r="I24" s="258">
        <v>1620</v>
      </c>
      <c r="J24" s="259">
        <v>10222</v>
      </c>
      <c r="K24" s="258">
        <v>7198</v>
      </c>
      <c r="L24" s="260">
        <v>4.7280296022201664</v>
      </c>
      <c r="M24" s="261">
        <v>4.44320987654321</v>
      </c>
      <c r="O24" s="194"/>
      <c r="P24" s="194"/>
      <c r="Q24" s="322"/>
      <c r="T24" s="194"/>
      <c r="U24" s="194"/>
    </row>
    <row r="25" spans="1:25" s="2" customFormat="1" x14ac:dyDescent="0.2">
      <c r="A25" s="313" t="s">
        <v>34</v>
      </c>
      <c r="B25" s="264">
        <v>314974</v>
      </c>
      <c r="C25" s="266">
        <v>207175</v>
      </c>
      <c r="D25" s="264">
        <v>1594178</v>
      </c>
      <c r="E25" s="266">
        <v>985808</v>
      </c>
      <c r="F25" s="291">
        <v>5.061300297802358</v>
      </c>
      <c r="G25" s="114">
        <v>4.7583347411608541</v>
      </c>
      <c r="H25" s="264">
        <v>303012</v>
      </c>
      <c r="I25" s="266">
        <v>198101</v>
      </c>
      <c r="J25" s="264">
        <v>1475743</v>
      </c>
      <c r="K25" s="266">
        <v>940228</v>
      </c>
      <c r="L25" s="291">
        <v>4.8702460628621971</v>
      </c>
      <c r="M25" s="114">
        <v>4.7462052185501333</v>
      </c>
      <c r="N25" s="1"/>
      <c r="O25" s="194"/>
      <c r="P25" s="194"/>
      <c r="U25" s="1"/>
      <c r="V25" s="1"/>
      <c r="W25" s="1"/>
    </row>
    <row r="26" spans="1:25" x14ac:dyDescent="0.2">
      <c r="A26" s="306" t="s">
        <v>89</v>
      </c>
      <c r="B26" s="262">
        <v>10662</v>
      </c>
      <c r="C26" s="263">
        <v>9300</v>
      </c>
      <c r="D26" s="262"/>
      <c r="E26" s="265"/>
      <c r="F26" s="267"/>
      <c r="G26" s="268"/>
      <c r="H26" s="262">
        <v>8245</v>
      </c>
      <c r="I26" s="263">
        <v>8592</v>
      </c>
      <c r="J26" s="262"/>
      <c r="K26" s="265"/>
      <c r="L26" s="267"/>
      <c r="M26" s="268"/>
    </row>
    <row r="27" spans="1:25" x14ac:dyDescent="0.2">
      <c r="A27" s="307" t="s">
        <v>1</v>
      </c>
      <c r="B27" s="264">
        <v>325636</v>
      </c>
      <c r="C27" s="266">
        <v>216475</v>
      </c>
      <c r="D27" s="264">
        <v>1594178</v>
      </c>
      <c r="E27" s="266">
        <v>985808</v>
      </c>
      <c r="F27" s="267">
        <v>4.8955827979707403</v>
      </c>
      <c r="G27" s="268">
        <v>4.5539115371289984</v>
      </c>
      <c r="H27" s="264">
        <v>311257</v>
      </c>
      <c r="I27" s="266">
        <v>206693</v>
      </c>
      <c r="J27" s="264">
        <v>1475743</v>
      </c>
      <c r="K27" s="266">
        <v>940228</v>
      </c>
      <c r="L27" s="267">
        <v>4.7412363416726375</v>
      </c>
      <c r="M27" s="268">
        <v>4.5489107033136102</v>
      </c>
    </row>
    <row r="28" spans="1:25" x14ac:dyDescent="0.2">
      <c r="A28" s="2"/>
      <c r="B28" s="40"/>
      <c r="C28" s="40"/>
      <c r="D28" s="40"/>
      <c r="E28" s="40"/>
      <c r="F28" s="41"/>
      <c r="G28" s="41"/>
      <c r="H28" s="42"/>
      <c r="I28" s="42"/>
      <c r="J28" s="42"/>
      <c r="K28" s="42"/>
      <c r="L28" s="43"/>
      <c r="M28" s="43"/>
      <c r="O28" s="194"/>
      <c r="P28" s="194"/>
    </row>
    <row r="29" spans="1:25" s="71" customFormat="1" x14ac:dyDescent="0.2">
      <c r="A29" s="328" t="s">
        <v>539</v>
      </c>
      <c r="B29" s="70"/>
      <c r="C29" s="70"/>
      <c r="D29" s="70"/>
      <c r="E29" s="70"/>
      <c r="F29" s="249"/>
      <c r="O29" s="194"/>
      <c r="P29" s="194"/>
      <c r="U29" s="1"/>
      <c r="V29" s="1"/>
      <c r="W29" s="1"/>
    </row>
    <row r="30" spans="1:25" x14ac:dyDescent="0.2">
      <c r="A30" s="13"/>
      <c r="B30" s="6"/>
      <c r="C30" s="5"/>
      <c r="D30" s="6"/>
      <c r="E30" s="5"/>
      <c r="O30" s="194"/>
      <c r="P30" s="194"/>
      <c r="U30" s="71"/>
      <c r="V30" s="71"/>
      <c r="W30" s="71"/>
    </row>
    <row r="31" spans="1:25" x14ac:dyDescent="0.2">
      <c r="A31" s="2" t="s">
        <v>202</v>
      </c>
      <c r="O31" s="194"/>
      <c r="P31" s="194"/>
    </row>
    <row r="32" spans="1:25" x14ac:dyDescent="0.2">
      <c r="A32" s="359" t="s">
        <v>201</v>
      </c>
      <c r="B32" s="359"/>
      <c r="C32" s="359"/>
      <c r="D32" s="359"/>
      <c r="E32" s="359"/>
      <c r="F32" s="359"/>
      <c r="G32" s="359"/>
      <c r="H32" s="359"/>
      <c r="I32" s="359"/>
      <c r="J32" s="359" t="s">
        <v>128</v>
      </c>
      <c r="K32" s="359"/>
      <c r="L32" s="359"/>
      <c r="M32" s="359"/>
      <c r="O32" s="194"/>
      <c r="P32" s="194"/>
    </row>
    <row r="33" spans="1:16" x14ac:dyDescent="0.2">
      <c r="A33" s="359" t="s">
        <v>198</v>
      </c>
      <c r="B33" s="359"/>
      <c r="C33" s="359"/>
      <c r="D33" s="359"/>
      <c r="E33" s="359"/>
      <c r="F33" s="359"/>
      <c r="G33" s="359"/>
      <c r="H33" s="359"/>
      <c r="I33" s="359"/>
      <c r="J33" s="359"/>
      <c r="K33" s="359"/>
      <c r="L33" s="359"/>
      <c r="M33" s="359"/>
      <c r="O33" s="194"/>
      <c r="P33" s="194"/>
    </row>
    <row r="34" spans="1:16" ht="12.75" customHeight="1" x14ac:dyDescent="0.2">
      <c r="A34" s="359" t="s">
        <v>545</v>
      </c>
      <c r="B34" s="359"/>
      <c r="C34" s="359"/>
      <c r="D34" s="359"/>
      <c r="E34" s="359"/>
      <c r="F34" s="359"/>
      <c r="G34" s="359"/>
      <c r="H34" s="359"/>
      <c r="I34" s="359"/>
      <c r="J34" s="359"/>
      <c r="K34" s="359"/>
      <c r="L34" s="359"/>
      <c r="M34" s="359"/>
      <c r="O34" s="194"/>
      <c r="P34" s="194"/>
    </row>
    <row r="35" spans="1:16" x14ac:dyDescent="0.2">
      <c r="A35" s="359" t="s">
        <v>206</v>
      </c>
      <c r="B35" s="359"/>
      <c r="C35" s="359"/>
      <c r="D35" s="359"/>
      <c r="E35" s="359"/>
      <c r="F35" s="359"/>
      <c r="G35" s="359"/>
      <c r="H35" s="359"/>
      <c r="I35" s="359" t="s">
        <v>128</v>
      </c>
      <c r="J35" s="359"/>
      <c r="K35" s="359"/>
      <c r="L35" s="359"/>
      <c r="M35" s="359"/>
      <c r="O35" s="194"/>
      <c r="P35" s="194"/>
    </row>
    <row r="36" spans="1:16" ht="12.75" customHeight="1" x14ac:dyDescent="0.2">
      <c r="A36" s="359" t="s">
        <v>551</v>
      </c>
      <c r="B36" s="359"/>
      <c r="C36" s="359"/>
      <c r="D36" s="359"/>
      <c r="E36" s="359"/>
      <c r="F36" s="359"/>
      <c r="G36" s="359"/>
      <c r="H36" s="359"/>
      <c r="I36" s="359"/>
      <c r="J36" s="359"/>
      <c r="K36" s="359"/>
      <c r="L36" s="359"/>
      <c r="M36" s="359"/>
      <c r="O36" s="194"/>
      <c r="P36" s="194"/>
    </row>
    <row r="37" spans="1:16" x14ac:dyDescent="0.2">
      <c r="O37" s="194"/>
      <c r="P37" s="194"/>
    </row>
  </sheetData>
  <mergeCells count="13">
    <mergeCell ref="A36:M36"/>
    <mergeCell ref="H13:M13"/>
    <mergeCell ref="H14:I14"/>
    <mergeCell ref="J14:K14"/>
    <mergeCell ref="L14:M14"/>
    <mergeCell ref="B13:G13"/>
    <mergeCell ref="B14:C14"/>
    <mergeCell ref="D14:E14"/>
    <mergeCell ref="F14:G14"/>
    <mergeCell ref="A34:M34"/>
    <mergeCell ref="A33:M33"/>
    <mergeCell ref="A32:M32"/>
    <mergeCell ref="A35:M35"/>
  </mergeCells>
  <hyperlinks>
    <hyperlink ref="A8" location="Contents!A1" display="Return to Contents" xr:uid="{00000000-0004-0000-0E00-000000000000}"/>
  </hyperlinks>
  <pageMargins left="0.75" right="0.75" top="1" bottom="1" header="0.5" footer="0.5"/>
  <pageSetup paperSize="9" scale="76" orientation="landscape" r:id="rId1"/>
  <headerFooter alignWithMargins="0"/>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Y48"/>
  <sheetViews>
    <sheetView showGridLines="0" zoomScaleNormal="100" workbookViewId="0">
      <selection activeCell="A10" sqref="A10"/>
    </sheetView>
  </sheetViews>
  <sheetFormatPr defaultColWidth="9.140625" defaultRowHeight="12.75" x14ac:dyDescent="0.2"/>
  <cols>
    <col min="1" max="1" width="52.5703125" style="1" bestFit="1" customWidth="1"/>
    <col min="2" max="5" width="19.42578125" style="1" customWidth="1"/>
    <col min="6" max="6" width="22.85546875" style="1" customWidth="1"/>
    <col min="7" max="7" width="46.42578125" style="1" bestFit="1" customWidth="1"/>
    <col min="8" max="8" width="28.140625" style="1" bestFit="1" customWidth="1"/>
    <col min="9" max="16384" width="9.140625" style="1"/>
  </cols>
  <sheetData>
    <row r="1" spans="1:25" s="7" customFormat="1" ht="12.75" customHeight="1" x14ac:dyDescent="0.2">
      <c r="F1" s="9"/>
      <c r="Y1" s="8"/>
    </row>
    <row r="2" spans="1:25" s="7" customFormat="1" ht="12.75" customHeight="1" x14ac:dyDescent="0.2">
      <c r="F2" s="9"/>
      <c r="Y2" s="8"/>
    </row>
    <row r="3" spans="1:25" s="7" customFormat="1" ht="12.75" customHeight="1" x14ac:dyDescent="0.2">
      <c r="F3" s="9"/>
      <c r="Y3" s="8"/>
    </row>
    <row r="4" spans="1:25" s="7" customFormat="1" ht="12.75" customHeight="1" x14ac:dyDescent="0.2">
      <c r="F4" s="9"/>
      <c r="Y4" s="8"/>
    </row>
    <row r="5" spans="1:25" s="7" customFormat="1" ht="12.75" customHeight="1" x14ac:dyDescent="0.2">
      <c r="F5" s="9"/>
      <c r="Y5" s="8"/>
    </row>
    <row r="6" spans="1:25" s="7" customFormat="1" ht="12.75" customHeight="1" x14ac:dyDescent="0.2">
      <c r="F6" s="9"/>
      <c r="Y6" s="8"/>
    </row>
    <row r="7" spans="1:25" ht="12.75" customHeight="1" x14ac:dyDescent="0.2"/>
    <row r="8" spans="1:25" ht="14.25" customHeight="1" x14ac:dyDescent="0.2">
      <c r="A8" s="39" t="s">
        <v>193</v>
      </c>
    </row>
    <row r="9" spans="1:25" ht="12.75" customHeight="1" x14ac:dyDescent="0.2"/>
    <row r="10" spans="1:25" ht="22.5" customHeight="1" x14ac:dyDescent="0.2">
      <c r="A10" s="133" t="s">
        <v>212</v>
      </c>
    </row>
    <row r="11" spans="1:25" x14ac:dyDescent="0.2">
      <c r="A11" s="2"/>
    </row>
    <row r="12" spans="1:25" x14ac:dyDescent="0.2">
      <c r="B12" s="361" t="s">
        <v>265</v>
      </c>
      <c r="C12" s="362"/>
      <c r="D12" s="361" t="s">
        <v>538</v>
      </c>
      <c r="E12" s="362"/>
    </row>
    <row r="13" spans="1:25" ht="25.5" x14ac:dyDescent="0.2">
      <c r="A13" s="130" t="s">
        <v>97</v>
      </c>
      <c r="B13" s="66" t="s">
        <v>15</v>
      </c>
      <c r="C13" s="55" t="s">
        <v>14</v>
      </c>
      <c r="D13" s="66" t="s">
        <v>15</v>
      </c>
      <c r="E13" s="55" t="s">
        <v>14</v>
      </c>
    </row>
    <row r="14" spans="1:25" x14ac:dyDescent="0.2">
      <c r="A14" s="87" t="s">
        <v>178</v>
      </c>
      <c r="B14" s="167">
        <v>148873</v>
      </c>
      <c r="C14" s="227">
        <v>0.62564561611424196</v>
      </c>
      <c r="D14" s="167">
        <v>152092</v>
      </c>
      <c r="E14" s="227">
        <v>0.64400000000000002</v>
      </c>
    </row>
    <row r="15" spans="1:25" x14ac:dyDescent="0.2">
      <c r="A15" s="87" t="s">
        <v>179</v>
      </c>
      <c r="B15" s="168">
        <v>45416</v>
      </c>
      <c r="C15" s="228">
        <v>0.19086282469920277</v>
      </c>
      <c r="D15" s="168">
        <v>40585</v>
      </c>
      <c r="E15" s="228">
        <v>0.17199999999999999</v>
      </c>
    </row>
    <row r="16" spans="1:25" x14ac:dyDescent="0.2">
      <c r="A16" s="87" t="s">
        <v>180</v>
      </c>
      <c r="B16" s="168">
        <v>12441</v>
      </c>
      <c r="C16" s="228">
        <v>5.2283873570609075E-2</v>
      </c>
      <c r="D16" s="168">
        <v>11467</v>
      </c>
      <c r="E16" s="228">
        <v>4.9000000000000002E-2</v>
      </c>
    </row>
    <row r="17" spans="1:6" x14ac:dyDescent="0.2">
      <c r="A17" s="87" t="s">
        <v>182</v>
      </c>
      <c r="B17" s="168">
        <v>9398</v>
      </c>
      <c r="C17" s="228">
        <v>3.9495526389886994E-2</v>
      </c>
      <c r="D17" s="168">
        <v>9672</v>
      </c>
      <c r="E17" s="228">
        <v>4.1000000000000002E-2</v>
      </c>
    </row>
    <row r="18" spans="1:6" x14ac:dyDescent="0.2">
      <c r="A18" s="87" t="s">
        <v>181</v>
      </c>
      <c r="B18" s="168">
        <v>8710</v>
      </c>
      <c r="C18" s="228">
        <v>3.6604174809099353E-2</v>
      </c>
      <c r="D18" s="168">
        <v>8513</v>
      </c>
      <c r="E18" s="228">
        <v>3.5999999999999997E-2</v>
      </c>
    </row>
    <row r="19" spans="1:6" x14ac:dyDescent="0.2">
      <c r="A19" s="87" t="s">
        <v>185</v>
      </c>
      <c r="B19" s="168">
        <v>4238</v>
      </c>
      <c r="C19" s="228">
        <v>1.7810389533979686E-2</v>
      </c>
      <c r="D19" s="168">
        <v>4412</v>
      </c>
      <c r="E19" s="228">
        <v>1.9E-2</v>
      </c>
    </row>
    <row r="20" spans="1:6" x14ac:dyDescent="0.2">
      <c r="A20" s="87" t="s">
        <v>183</v>
      </c>
      <c r="B20" s="168">
        <v>2879</v>
      </c>
      <c r="C20" s="228">
        <v>1.2099129652743632E-2</v>
      </c>
      <c r="D20" s="168">
        <v>2781</v>
      </c>
      <c r="E20" s="228">
        <v>1.2E-2</v>
      </c>
    </row>
    <row r="21" spans="1:6" x14ac:dyDescent="0.2">
      <c r="A21" s="87" t="s">
        <v>186</v>
      </c>
      <c r="B21" s="168">
        <v>1657</v>
      </c>
      <c r="C21" s="228">
        <v>6.963618560123723E-3</v>
      </c>
      <c r="D21" s="168">
        <v>2202</v>
      </c>
      <c r="E21" s="228">
        <v>8.9999999999999993E-3</v>
      </c>
    </row>
    <row r="22" spans="1:6" x14ac:dyDescent="0.2">
      <c r="A22" s="87" t="s">
        <v>184</v>
      </c>
      <c r="B22" s="168">
        <v>1985</v>
      </c>
      <c r="C22" s="228">
        <v>8.3420536160806209E-3</v>
      </c>
      <c r="D22" s="168">
        <v>1591</v>
      </c>
      <c r="E22" s="228">
        <v>7.0000000000000001E-3</v>
      </c>
    </row>
    <row r="23" spans="1:6" x14ac:dyDescent="0.2">
      <c r="A23" s="87" t="s">
        <v>189</v>
      </c>
      <c r="B23" s="168">
        <v>1129</v>
      </c>
      <c r="C23" s="228">
        <v>4.7446743237053004E-3</v>
      </c>
      <c r="D23" s="168">
        <v>1471</v>
      </c>
      <c r="E23" s="228">
        <v>6.0000000000000001E-3</v>
      </c>
    </row>
    <row r="24" spans="1:6" x14ac:dyDescent="0.2">
      <c r="A24" s="87" t="s">
        <v>188</v>
      </c>
      <c r="B24" s="168">
        <v>697</v>
      </c>
      <c r="C24" s="228">
        <v>2.9291744939084099E-3</v>
      </c>
      <c r="D24" s="168">
        <v>760</v>
      </c>
      <c r="E24" s="228">
        <v>3.0000000000000001E-3</v>
      </c>
    </row>
    <row r="25" spans="1:6" x14ac:dyDescent="0.2">
      <c r="A25" s="87" t="s">
        <v>187</v>
      </c>
      <c r="B25" s="168">
        <v>408</v>
      </c>
      <c r="C25" s="228">
        <v>1.7146387281415081E-3</v>
      </c>
      <c r="D25" s="168">
        <v>426</v>
      </c>
      <c r="E25" s="228">
        <v>0.02</v>
      </c>
    </row>
    <row r="26" spans="1:6" x14ac:dyDescent="0.2">
      <c r="A26" s="87" t="s">
        <v>96</v>
      </c>
      <c r="B26" s="169">
        <v>120</v>
      </c>
      <c r="C26" s="229">
        <v>5.0430550827691419E-4</v>
      </c>
      <c r="D26" s="169">
        <v>199</v>
      </c>
      <c r="E26" s="229">
        <v>1E-3</v>
      </c>
    </row>
    <row r="27" spans="1:6" x14ac:dyDescent="0.2">
      <c r="A27" s="138" t="s">
        <v>34</v>
      </c>
      <c r="B27" s="192">
        <v>237951</v>
      </c>
      <c r="C27" s="292">
        <v>1</v>
      </c>
      <c r="D27" s="192">
        <v>236171</v>
      </c>
      <c r="E27" s="292">
        <v>1</v>
      </c>
    </row>
    <row r="28" spans="1:6" x14ac:dyDescent="0.2">
      <c r="A28" s="150" t="s">
        <v>33</v>
      </c>
      <c r="B28" s="191">
        <v>0</v>
      </c>
      <c r="C28" s="229">
        <v>0</v>
      </c>
      <c r="D28" s="191">
        <v>0</v>
      </c>
      <c r="E28" s="229">
        <v>0</v>
      </c>
    </row>
    <row r="29" spans="1:6" x14ac:dyDescent="0.2">
      <c r="A29" s="88" t="s">
        <v>1</v>
      </c>
      <c r="B29" s="203">
        <v>237951</v>
      </c>
      <c r="C29" s="230">
        <v>1</v>
      </c>
      <c r="D29" s="203">
        <v>236171</v>
      </c>
      <c r="E29" s="230">
        <v>1</v>
      </c>
    </row>
    <row r="30" spans="1:6" x14ac:dyDescent="0.2">
      <c r="A30" s="24"/>
      <c r="B30" s="6"/>
      <c r="C30" s="23"/>
      <c r="D30" s="6"/>
      <c r="E30" s="23"/>
    </row>
    <row r="31" spans="1:6" s="71" customFormat="1" x14ac:dyDescent="0.2">
      <c r="A31" s="328" t="s">
        <v>539</v>
      </c>
      <c r="B31" s="70"/>
      <c r="C31" s="70"/>
      <c r="D31" s="70"/>
      <c r="E31" s="70"/>
      <c r="F31" s="70"/>
    </row>
    <row r="32" spans="1:6" x14ac:dyDescent="0.2">
      <c r="A32" s="13"/>
      <c r="B32" s="6"/>
      <c r="C32" s="5"/>
      <c r="D32" s="6"/>
      <c r="E32" s="5"/>
    </row>
    <row r="33" spans="1:13" x14ac:dyDescent="0.2">
      <c r="A33" s="2" t="s">
        <v>202</v>
      </c>
    </row>
    <row r="34" spans="1:13" x14ac:dyDescent="0.2">
      <c r="A34" s="1" t="s">
        <v>552</v>
      </c>
    </row>
    <row r="35" spans="1:13" ht="12.75" customHeight="1" x14ac:dyDescent="0.2">
      <c r="A35" s="359" t="s">
        <v>208</v>
      </c>
      <c r="B35" s="359"/>
      <c r="C35" s="359"/>
      <c r="D35" s="359"/>
      <c r="E35" s="359"/>
      <c r="F35" s="132"/>
      <c r="G35" s="132"/>
      <c r="H35" s="132"/>
      <c r="I35" s="132"/>
      <c r="J35" s="132"/>
      <c r="K35" s="132"/>
      <c r="L35" s="132"/>
      <c r="M35" s="132"/>
    </row>
    <row r="36" spans="1:13" x14ac:dyDescent="0.2">
      <c r="A36" s="360" t="s">
        <v>204</v>
      </c>
      <c r="B36" s="360"/>
      <c r="C36" s="360"/>
      <c r="D36" s="360"/>
      <c r="E36" s="360"/>
    </row>
    <row r="37" spans="1:13" ht="25.5" customHeight="1" x14ac:dyDescent="0.2">
      <c r="A37" s="356"/>
      <c r="B37" s="356"/>
      <c r="C37" s="356"/>
      <c r="D37" s="356"/>
      <c r="E37" s="356"/>
    </row>
    <row r="38" spans="1:13" x14ac:dyDescent="0.2">
      <c r="E38" s="31"/>
    </row>
    <row r="39" spans="1:13" x14ac:dyDescent="0.2">
      <c r="E39" s="31"/>
    </row>
    <row r="40" spans="1:13" x14ac:dyDescent="0.2">
      <c r="E40" s="31"/>
    </row>
    <row r="41" spans="1:13" x14ac:dyDescent="0.2">
      <c r="E41" s="31"/>
    </row>
    <row r="42" spans="1:13" x14ac:dyDescent="0.2">
      <c r="E42" s="31"/>
    </row>
    <row r="43" spans="1:13" x14ac:dyDescent="0.2">
      <c r="E43" s="31"/>
    </row>
    <row r="44" spans="1:13" x14ac:dyDescent="0.2">
      <c r="E44" s="31"/>
    </row>
    <row r="45" spans="1:13" x14ac:dyDescent="0.2">
      <c r="E45" s="31"/>
    </row>
    <row r="46" spans="1:13" x14ac:dyDescent="0.2">
      <c r="E46" s="31"/>
    </row>
    <row r="47" spans="1:13" x14ac:dyDescent="0.2">
      <c r="E47" s="31"/>
    </row>
    <row r="48" spans="1:13" x14ac:dyDescent="0.2">
      <c r="E48" s="31"/>
    </row>
  </sheetData>
  <sortState xmlns:xlrd2="http://schemas.microsoft.com/office/spreadsheetml/2017/richdata2" ref="A14:E26">
    <sortCondition descending="1" ref="D14:D26"/>
  </sortState>
  <mergeCells count="5">
    <mergeCell ref="D12:E12"/>
    <mergeCell ref="B12:C12"/>
    <mergeCell ref="A36:E36"/>
    <mergeCell ref="A35:E35"/>
    <mergeCell ref="A37:E37"/>
  </mergeCells>
  <hyperlinks>
    <hyperlink ref="A8" location="Contents!A1" display="Return to Contents" xr:uid="{00000000-0004-0000-0F00-000000000000}"/>
  </hyperlinks>
  <pageMargins left="0.75" right="0.75" top="1" bottom="1" header="0.5" footer="0.5"/>
  <pageSetup paperSize="9" scale="91" orientation="landscape" r:id="rId1"/>
  <headerFooter alignWithMargins="0"/>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A1:Y29"/>
  <sheetViews>
    <sheetView showGridLines="0" zoomScaleNormal="100" workbookViewId="0">
      <selection activeCell="A10" sqref="A10"/>
    </sheetView>
  </sheetViews>
  <sheetFormatPr defaultColWidth="9.140625" defaultRowHeight="12.75" x14ac:dyDescent="0.2"/>
  <cols>
    <col min="1" max="1" width="65.42578125" style="10" customWidth="1"/>
    <col min="2" max="5" width="19.42578125" style="1" customWidth="1"/>
    <col min="6" max="6" width="12.42578125" style="1" customWidth="1"/>
    <col min="7" max="7" width="62.85546875" style="1" bestFit="1" customWidth="1"/>
    <col min="8" max="8" width="28.140625" style="1" bestFit="1" customWidth="1"/>
    <col min="9" max="9" width="7.85546875" style="1" bestFit="1" customWidth="1"/>
    <col min="10" max="16384" width="9.140625" style="1"/>
  </cols>
  <sheetData>
    <row r="1" spans="1:25" s="7" customFormat="1" ht="12.75" customHeight="1" x14ac:dyDescent="0.2">
      <c r="F1" s="9"/>
      <c r="Y1" s="8"/>
    </row>
    <row r="2" spans="1:25" s="7" customFormat="1" ht="12.75" customHeight="1" x14ac:dyDescent="0.2">
      <c r="F2" s="9"/>
      <c r="Y2" s="8"/>
    </row>
    <row r="3" spans="1:25" s="7" customFormat="1" ht="12.75" customHeight="1" x14ac:dyDescent="0.2">
      <c r="F3" s="9"/>
      <c r="Y3" s="8"/>
    </row>
    <row r="4" spans="1:25" s="7" customFormat="1" ht="12.75" customHeight="1" x14ac:dyDescent="0.2">
      <c r="F4" s="9"/>
      <c r="Y4" s="8"/>
    </row>
    <row r="5" spans="1:25" s="7" customFormat="1" ht="12.75" customHeight="1" x14ac:dyDescent="0.2">
      <c r="F5" s="9"/>
      <c r="Y5" s="8"/>
    </row>
    <row r="6" spans="1:25" s="7" customFormat="1" ht="12.75" customHeight="1" x14ac:dyDescent="0.2">
      <c r="F6" s="9"/>
      <c r="Y6" s="8"/>
    </row>
    <row r="7" spans="1:25" s="7" customFormat="1" ht="12.75" customHeight="1" x14ac:dyDescent="0.2">
      <c r="F7" s="9"/>
      <c r="Y7" s="8"/>
    </row>
    <row r="8" spans="1:25" ht="14.25" customHeight="1" x14ac:dyDescent="0.2">
      <c r="A8" s="39" t="s">
        <v>193</v>
      </c>
    </row>
    <row r="9" spans="1:25" ht="12.75" customHeight="1" x14ac:dyDescent="0.2">
      <c r="A9" s="1"/>
    </row>
    <row r="10" spans="1:25" ht="22.5" customHeight="1" x14ac:dyDescent="0.2">
      <c r="A10" s="133" t="s">
        <v>211</v>
      </c>
    </row>
    <row r="11" spans="1:25" ht="12.75" customHeight="1" x14ac:dyDescent="0.2">
      <c r="A11" s="28"/>
    </row>
    <row r="12" spans="1:25" x14ac:dyDescent="0.2">
      <c r="B12" s="357" t="s">
        <v>265</v>
      </c>
      <c r="C12" s="358"/>
      <c r="D12" s="357" t="s">
        <v>538</v>
      </c>
      <c r="E12" s="358"/>
    </row>
    <row r="13" spans="1:25" ht="25.5" x14ac:dyDescent="0.2">
      <c r="A13" s="92" t="s">
        <v>99</v>
      </c>
      <c r="B13" s="66" t="s">
        <v>15</v>
      </c>
      <c r="C13" s="55" t="s">
        <v>14</v>
      </c>
      <c r="D13" s="66" t="s">
        <v>15</v>
      </c>
      <c r="E13" s="55" t="s">
        <v>14</v>
      </c>
    </row>
    <row r="14" spans="1:25" x14ac:dyDescent="0.2">
      <c r="A14" s="151" t="s">
        <v>561</v>
      </c>
      <c r="B14" s="231">
        <v>141656</v>
      </c>
      <c r="C14" s="205">
        <v>0.79623176023562736</v>
      </c>
      <c r="D14" s="231">
        <v>145347</v>
      </c>
      <c r="E14" s="205">
        <v>0.8010350015706893</v>
      </c>
    </row>
    <row r="15" spans="1:25" ht="14.25" x14ac:dyDescent="0.2">
      <c r="A15" s="151" t="s">
        <v>562</v>
      </c>
      <c r="B15" s="232">
        <v>25576</v>
      </c>
      <c r="C15" s="207">
        <v>0.14375969602266339</v>
      </c>
      <c r="D15" s="232">
        <v>26723</v>
      </c>
      <c r="E15" s="207">
        <v>0.14727554299004128</v>
      </c>
      <c r="H15" s="302"/>
    </row>
    <row r="16" spans="1:25" ht="14.25" x14ac:dyDescent="0.2">
      <c r="A16" s="151" t="s">
        <v>563</v>
      </c>
      <c r="B16" s="232">
        <v>7731</v>
      </c>
      <c r="C16" s="207">
        <v>4.3455044180138049E-2</v>
      </c>
      <c r="D16" s="232">
        <v>7833</v>
      </c>
      <c r="E16" s="207">
        <v>4.3169154969164888E-2</v>
      </c>
      <c r="H16" s="302"/>
    </row>
    <row r="17" spans="1:9" x14ac:dyDescent="0.2">
      <c r="A17" s="151" t="s">
        <v>98</v>
      </c>
      <c r="B17" s="233">
        <v>2945</v>
      </c>
      <c r="C17" s="209">
        <v>1.655349956157115E-2</v>
      </c>
      <c r="D17" s="233">
        <v>1546</v>
      </c>
      <c r="E17" s="209">
        <v>8.5203004701045471E-3</v>
      </c>
      <c r="H17" s="302"/>
    </row>
    <row r="18" spans="1:9" x14ac:dyDescent="0.2">
      <c r="A18" s="92" t="s">
        <v>34</v>
      </c>
      <c r="B18" s="287">
        <v>177908</v>
      </c>
      <c r="C18" s="288">
        <v>1</v>
      </c>
      <c r="D18" s="287">
        <v>181449</v>
      </c>
      <c r="E18" s="288">
        <v>1</v>
      </c>
      <c r="H18" s="302"/>
    </row>
    <row r="19" spans="1:9" x14ac:dyDescent="0.2">
      <c r="A19" s="150" t="s">
        <v>33</v>
      </c>
      <c r="B19" s="233">
        <v>60043</v>
      </c>
      <c r="C19" s="209">
        <v>0.25233346361225628</v>
      </c>
      <c r="D19" s="233">
        <v>54722</v>
      </c>
      <c r="E19" s="209">
        <v>0.22997171686607748</v>
      </c>
    </row>
    <row r="20" spans="1:9" x14ac:dyDescent="0.2">
      <c r="A20" s="89" t="s">
        <v>1</v>
      </c>
      <c r="B20" s="210">
        <v>237951</v>
      </c>
      <c r="C20" s="211">
        <v>1</v>
      </c>
      <c r="D20" s="210">
        <v>236171</v>
      </c>
      <c r="E20" s="211">
        <v>1</v>
      </c>
    </row>
    <row r="21" spans="1:9" x14ac:dyDescent="0.2">
      <c r="A21" s="27"/>
      <c r="B21" s="26"/>
      <c r="C21" s="25"/>
      <c r="D21" s="26"/>
      <c r="E21" s="25"/>
    </row>
    <row r="22" spans="1:9" s="71" customFormat="1" x14ac:dyDescent="0.2">
      <c r="A22" s="328" t="s">
        <v>539</v>
      </c>
      <c r="B22" s="70"/>
      <c r="C22" s="70"/>
      <c r="D22" s="70"/>
      <c r="E22" s="70"/>
      <c r="F22" s="70"/>
      <c r="G22" s="1"/>
      <c r="H22" s="1"/>
      <c r="I22" s="1"/>
    </row>
    <row r="23" spans="1:9" x14ac:dyDescent="0.2">
      <c r="A23" s="13"/>
      <c r="B23" s="6"/>
      <c r="C23" s="5"/>
      <c r="D23" s="6"/>
      <c r="E23" s="5"/>
    </row>
    <row r="24" spans="1:9" x14ac:dyDescent="0.2">
      <c r="A24" s="2" t="s">
        <v>202</v>
      </c>
      <c r="G24" s="71"/>
      <c r="H24" s="71"/>
      <c r="I24" s="71"/>
    </row>
    <row r="25" spans="1:9" ht="12.75" customHeight="1" x14ac:dyDescent="0.2">
      <c r="A25" s="1" t="s">
        <v>547</v>
      </c>
    </row>
    <row r="26" spans="1:9" ht="12.75" customHeight="1" x14ac:dyDescent="0.2">
      <c r="A26" s="359" t="s">
        <v>208</v>
      </c>
      <c r="B26" s="359"/>
      <c r="C26" s="359"/>
      <c r="D26" s="359"/>
      <c r="E26" s="359"/>
    </row>
    <row r="27" spans="1:9" ht="12.75" customHeight="1" x14ac:dyDescent="0.2">
      <c r="A27" s="360" t="s">
        <v>204</v>
      </c>
      <c r="B27" s="360"/>
      <c r="C27" s="360"/>
      <c r="D27" s="360"/>
      <c r="E27" s="360"/>
    </row>
    <row r="28" spans="1:9" ht="25.5" customHeight="1" x14ac:dyDescent="0.2">
      <c r="A28" s="390" t="s">
        <v>564</v>
      </c>
      <c r="B28" s="390"/>
      <c r="C28" s="390"/>
      <c r="D28" s="390"/>
      <c r="E28" s="390"/>
    </row>
    <row r="29" spans="1:9" ht="29.25" customHeight="1" x14ac:dyDescent="0.2">
      <c r="A29" s="390" t="s">
        <v>565</v>
      </c>
      <c r="B29" s="390"/>
      <c r="C29" s="390"/>
      <c r="D29" s="390"/>
      <c r="E29" s="390"/>
    </row>
  </sheetData>
  <mergeCells count="6">
    <mergeCell ref="A27:E27"/>
    <mergeCell ref="D12:E12"/>
    <mergeCell ref="A29:E29"/>
    <mergeCell ref="B12:C12"/>
    <mergeCell ref="A26:E26"/>
    <mergeCell ref="A28:E28"/>
  </mergeCells>
  <hyperlinks>
    <hyperlink ref="A8" location="Contents!A1" display="Return to Contents" xr:uid="{00000000-0004-0000-1000-000000000000}"/>
  </hyperlinks>
  <pageMargins left="0.75" right="0.75" top="1" bottom="1" header="0.5" footer="0.5"/>
  <pageSetup paperSize="9" orientation="landscape" r:id="rId1"/>
  <headerFooter alignWithMargins="0"/>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pageSetUpPr fitToPage="1"/>
  </sheetPr>
  <dimension ref="A1:Y37"/>
  <sheetViews>
    <sheetView showGridLines="0" zoomScaleNormal="100" workbookViewId="0">
      <selection activeCell="A10" sqref="A10"/>
    </sheetView>
  </sheetViews>
  <sheetFormatPr defaultColWidth="9.140625" defaultRowHeight="12.75" x14ac:dyDescent="0.2"/>
  <cols>
    <col min="1" max="1" width="48" style="1" customWidth="1"/>
    <col min="2" max="7" width="19.42578125" style="1" customWidth="1"/>
    <col min="8" max="8" width="10.140625" style="1" customWidth="1"/>
    <col min="9" max="9" width="46.140625" style="1" bestFit="1" customWidth="1"/>
    <col min="10" max="10" width="10.140625" style="1" customWidth="1"/>
    <col min="11" max="16384" width="9.140625" style="1"/>
  </cols>
  <sheetData>
    <row r="1" spans="1:25" s="7" customFormat="1" x14ac:dyDescent="0.2">
      <c r="D1" s="9"/>
      <c r="G1" s="9"/>
      <c r="Y1" s="8"/>
    </row>
    <row r="2" spans="1:25" s="7" customFormat="1" x14ac:dyDescent="0.2">
      <c r="D2" s="9"/>
      <c r="G2" s="9"/>
      <c r="Y2" s="8"/>
    </row>
    <row r="3" spans="1:25" s="7" customFormat="1" x14ac:dyDescent="0.2">
      <c r="D3" s="9"/>
      <c r="G3" s="9"/>
      <c r="Y3" s="8"/>
    </row>
    <row r="4" spans="1:25" s="7" customFormat="1" x14ac:dyDescent="0.2">
      <c r="D4" s="9"/>
      <c r="G4" s="9"/>
      <c r="Y4" s="8"/>
    </row>
    <row r="5" spans="1:25" s="7" customFormat="1" x14ac:dyDescent="0.2">
      <c r="D5" s="9"/>
      <c r="G5" s="9"/>
      <c r="Y5" s="8"/>
    </row>
    <row r="6" spans="1:25" s="7" customFormat="1" x14ac:dyDescent="0.2">
      <c r="D6" s="9"/>
      <c r="G6" s="9"/>
      <c r="Y6" s="8"/>
    </row>
    <row r="8" spans="1:25" ht="14.25" customHeight="1" x14ac:dyDescent="0.2">
      <c r="A8" s="39" t="s">
        <v>193</v>
      </c>
    </row>
    <row r="9" spans="1:25" ht="12.75" customHeight="1" x14ac:dyDescent="0.2"/>
    <row r="10" spans="1:25" ht="22.5" customHeight="1" x14ac:dyDescent="0.2">
      <c r="A10" s="133" t="s">
        <v>110</v>
      </c>
    </row>
    <row r="12" spans="1:25" x14ac:dyDescent="0.2">
      <c r="B12" s="357" t="s">
        <v>265</v>
      </c>
      <c r="C12" s="391"/>
      <c r="D12" s="358"/>
      <c r="E12" s="357" t="s">
        <v>538</v>
      </c>
      <c r="F12" s="391"/>
      <c r="G12" s="358"/>
    </row>
    <row r="13" spans="1:25" ht="25.5" x14ac:dyDescent="0.2">
      <c r="A13" s="92" t="s">
        <v>109</v>
      </c>
      <c r="B13" s="93" t="s">
        <v>108</v>
      </c>
      <c r="C13" s="54" t="s">
        <v>107</v>
      </c>
      <c r="D13" s="55" t="s">
        <v>106</v>
      </c>
      <c r="E13" s="93" t="s">
        <v>108</v>
      </c>
      <c r="F13" s="54" t="s">
        <v>107</v>
      </c>
      <c r="G13" s="55" t="s">
        <v>106</v>
      </c>
      <c r="H13" s="159"/>
    </row>
    <row r="14" spans="1:25" ht="14.25" x14ac:dyDescent="0.2">
      <c r="A14" s="90" t="s">
        <v>566</v>
      </c>
      <c r="B14" s="234">
        <v>237951</v>
      </c>
      <c r="C14" s="212">
        <v>237951</v>
      </c>
      <c r="D14" s="235">
        <v>1</v>
      </c>
      <c r="E14" s="234">
        <v>236171</v>
      </c>
      <c r="F14" s="212">
        <v>236171</v>
      </c>
      <c r="G14" s="235">
        <v>1</v>
      </c>
      <c r="H14" s="159"/>
      <c r="I14" s="159"/>
      <c r="J14" s="159"/>
      <c r="K14" s="159"/>
    </row>
    <row r="15" spans="1:25" x14ac:dyDescent="0.2">
      <c r="A15" s="90" t="s">
        <v>190</v>
      </c>
      <c r="B15" s="236">
        <v>237951</v>
      </c>
      <c r="C15" s="194">
        <v>237951</v>
      </c>
      <c r="D15" s="237">
        <v>1</v>
      </c>
      <c r="E15" s="236">
        <v>236171</v>
      </c>
      <c r="F15" s="194">
        <v>236171</v>
      </c>
      <c r="G15" s="237">
        <v>1</v>
      </c>
      <c r="H15" s="159"/>
      <c r="I15" s="159"/>
      <c r="J15" s="159"/>
      <c r="K15" s="21"/>
    </row>
    <row r="16" spans="1:25" x14ac:dyDescent="0.2">
      <c r="A16" s="90" t="s">
        <v>191</v>
      </c>
      <c r="B16" s="236">
        <v>221035</v>
      </c>
      <c r="C16" s="194">
        <v>237951</v>
      </c>
      <c r="D16" s="237">
        <v>0.92890973351656436</v>
      </c>
      <c r="E16" s="236">
        <v>221600</v>
      </c>
      <c r="F16" s="194">
        <v>236171</v>
      </c>
      <c r="G16" s="237">
        <v>0.93830317862904422</v>
      </c>
      <c r="H16" s="159"/>
      <c r="I16" s="159"/>
      <c r="J16" s="159"/>
      <c r="K16" s="21"/>
    </row>
    <row r="17" spans="1:11" x14ac:dyDescent="0.2">
      <c r="A17" s="90" t="s">
        <v>101</v>
      </c>
      <c r="B17" s="236">
        <v>177908</v>
      </c>
      <c r="C17" s="194">
        <v>237951</v>
      </c>
      <c r="D17" s="237">
        <v>0.74766653638774372</v>
      </c>
      <c r="E17" s="236">
        <v>181449</v>
      </c>
      <c r="F17" s="194">
        <v>236171</v>
      </c>
      <c r="G17" s="237">
        <v>0.76829500658421224</v>
      </c>
      <c r="H17" s="159"/>
      <c r="I17" s="159"/>
      <c r="J17" s="159"/>
      <c r="K17" s="21"/>
    </row>
    <row r="18" spans="1:11" x14ac:dyDescent="0.2">
      <c r="A18" s="90" t="s">
        <v>105</v>
      </c>
      <c r="B18" s="236">
        <v>176444</v>
      </c>
      <c r="C18" s="194">
        <v>237951</v>
      </c>
      <c r="D18" s="237">
        <v>0.74151400918676535</v>
      </c>
      <c r="E18" s="236">
        <v>177224</v>
      </c>
      <c r="F18" s="194">
        <v>236171</v>
      </c>
      <c r="G18" s="237">
        <v>0.750405426576506</v>
      </c>
      <c r="H18" s="159"/>
      <c r="I18" s="159"/>
      <c r="J18" s="159"/>
      <c r="K18" s="21"/>
    </row>
    <row r="19" spans="1:11" x14ac:dyDescent="0.2">
      <c r="A19" s="90" t="s">
        <v>103</v>
      </c>
      <c r="B19" s="236">
        <v>172118</v>
      </c>
      <c r="C19" s="194">
        <v>237951</v>
      </c>
      <c r="D19" s="237">
        <v>0.72333379561338262</v>
      </c>
      <c r="E19" s="236">
        <v>174182</v>
      </c>
      <c r="F19" s="194">
        <v>236171</v>
      </c>
      <c r="G19" s="237">
        <v>0.73752492897095745</v>
      </c>
      <c r="H19" s="159"/>
      <c r="I19" s="159"/>
      <c r="J19" s="159"/>
      <c r="K19" s="21"/>
    </row>
    <row r="20" spans="1:11" x14ac:dyDescent="0.2">
      <c r="A20" s="90" t="s">
        <v>100</v>
      </c>
      <c r="B20" s="236">
        <v>174181</v>
      </c>
      <c r="C20" s="194">
        <v>237951</v>
      </c>
      <c r="D20" s="237">
        <v>0.73200364780984317</v>
      </c>
      <c r="E20" s="236">
        <v>165218</v>
      </c>
      <c r="F20" s="194">
        <v>236171</v>
      </c>
      <c r="G20" s="237">
        <v>0.69956937981377898</v>
      </c>
      <c r="H20" s="159"/>
      <c r="I20" s="159"/>
      <c r="J20" s="159"/>
      <c r="K20" s="21"/>
    </row>
    <row r="21" spans="1:11" x14ac:dyDescent="0.2">
      <c r="A21" s="90" t="s">
        <v>192</v>
      </c>
      <c r="B21" s="236">
        <v>169372</v>
      </c>
      <c r="C21" s="194">
        <v>237951</v>
      </c>
      <c r="D21" s="237">
        <v>0.71179360456564589</v>
      </c>
      <c r="E21" s="236">
        <v>160758</v>
      </c>
      <c r="F21" s="194">
        <v>236171</v>
      </c>
      <c r="G21" s="237">
        <v>0.68068475807783346</v>
      </c>
      <c r="H21" s="159"/>
      <c r="I21" s="159"/>
      <c r="J21" s="159"/>
      <c r="K21" s="21"/>
    </row>
    <row r="22" spans="1:11" x14ac:dyDescent="0.2">
      <c r="A22" s="90" t="s">
        <v>102</v>
      </c>
      <c r="B22" s="236">
        <v>165047</v>
      </c>
      <c r="C22" s="194">
        <v>237951</v>
      </c>
      <c r="D22" s="237">
        <v>0.69361759353816543</v>
      </c>
      <c r="E22" s="236">
        <v>157074</v>
      </c>
      <c r="F22" s="194">
        <v>236171</v>
      </c>
      <c r="G22" s="237">
        <v>0.66508589115513761</v>
      </c>
      <c r="H22" s="159"/>
      <c r="I22" s="159"/>
      <c r="J22" s="159"/>
      <c r="K22" s="21"/>
    </row>
    <row r="23" spans="1:11" x14ac:dyDescent="0.2">
      <c r="A23" s="91" t="s">
        <v>104</v>
      </c>
      <c r="B23" s="191">
        <v>159300</v>
      </c>
      <c r="C23" s="213">
        <v>237951</v>
      </c>
      <c r="D23" s="238">
        <v>0.66946556223760356</v>
      </c>
      <c r="E23" s="191">
        <v>150354</v>
      </c>
      <c r="F23" s="213">
        <v>236171</v>
      </c>
      <c r="G23" s="238">
        <v>0.63663193194761425</v>
      </c>
      <c r="H23" s="159"/>
      <c r="I23" s="159"/>
      <c r="J23" s="159"/>
      <c r="K23" s="21"/>
    </row>
    <row r="24" spans="1:11" x14ac:dyDescent="0.2">
      <c r="A24" s="37"/>
      <c r="B24" s="202"/>
      <c r="C24" s="194"/>
      <c r="D24" s="242"/>
      <c r="E24" s="202"/>
      <c r="F24" s="194"/>
      <c r="G24" s="242"/>
    </row>
    <row r="25" spans="1:11" x14ac:dyDescent="0.2">
      <c r="A25" s="94" t="s">
        <v>196</v>
      </c>
      <c r="B25" s="239"/>
      <c r="C25" s="240"/>
      <c r="D25" s="241"/>
      <c r="E25" s="239"/>
      <c r="F25" s="240"/>
      <c r="G25" s="241"/>
    </row>
    <row r="26" spans="1:11" ht="14.25" x14ac:dyDescent="0.2">
      <c r="A26" s="314" t="s">
        <v>567</v>
      </c>
      <c r="B26" s="202">
        <v>237951</v>
      </c>
      <c r="C26" s="194">
        <v>237951</v>
      </c>
      <c r="D26" s="272">
        <v>1</v>
      </c>
      <c r="E26" s="202">
        <v>236171</v>
      </c>
      <c r="F26" s="194">
        <v>236171</v>
      </c>
      <c r="G26" s="272">
        <v>1</v>
      </c>
      <c r="H26" s="161"/>
    </row>
    <row r="27" spans="1:11" ht="14.25" x14ac:dyDescent="0.2">
      <c r="A27" s="310" t="s">
        <v>568</v>
      </c>
      <c r="B27" s="202">
        <v>235316</v>
      </c>
      <c r="C27" s="194">
        <v>237951</v>
      </c>
      <c r="D27" s="272">
        <v>0.9889262915474194</v>
      </c>
      <c r="E27" s="202">
        <v>233546</v>
      </c>
      <c r="F27" s="194">
        <v>236171</v>
      </c>
      <c r="G27" s="272">
        <v>0.98888517218456118</v>
      </c>
      <c r="H27" s="161"/>
    </row>
    <row r="28" spans="1:11" ht="14.25" x14ac:dyDescent="0.2">
      <c r="A28" s="315" t="s">
        <v>569</v>
      </c>
      <c r="B28" s="191">
        <v>229691</v>
      </c>
      <c r="C28" s="213">
        <v>237951</v>
      </c>
      <c r="D28" s="273">
        <v>0.96528697084693904</v>
      </c>
      <c r="E28" s="191">
        <v>227798</v>
      </c>
      <c r="F28" s="213">
        <v>236171</v>
      </c>
      <c r="G28" s="273">
        <v>0.96454687493384028</v>
      </c>
    </row>
    <row r="29" spans="1:11" x14ac:dyDescent="0.2">
      <c r="A29" s="17"/>
      <c r="B29" s="111"/>
      <c r="C29" s="111"/>
      <c r="D29" s="325"/>
      <c r="E29" s="194"/>
      <c r="F29" s="194"/>
      <c r="G29" s="326"/>
    </row>
    <row r="30" spans="1:11" x14ac:dyDescent="0.2">
      <c r="A30" s="328" t="s">
        <v>539</v>
      </c>
      <c r="B30" s="111"/>
      <c r="C30" s="111"/>
      <c r="D30" s="325"/>
      <c r="E30" s="194"/>
      <c r="F30" s="194"/>
      <c r="G30" s="326"/>
    </row>
    <row r="31" spans="1:11" ht="15" x14ac:dyDescent="0.25">
      <c r="A31" s="17"/>
      <c r="B31" s="29"/>
      <c r="C31" s="29"/>
      <c r="D31" s="38"/>
      <c r="E31" s="29"/>
      <c r="F31" s="29"/>
      <c r="G31" s="38"/>
    </row>
    <row r="32" spans="1:11" ht="12.75" customHeight="1" x14ac:dyDescent="0.2">
      <c r="A32" s="2" t="s">
        <v>202</v>
      </c>
    </row>
    <row r="33" spans="1:7" ht="12.75" customHeight="1" x14ac:dyDescent="0.2">
      <c r="A33" s="359" t="s">
        <v>546</v>
      </c>
      <c r="B33" s="359"/>
      <c r="C33" s="359"/>
      <c r="D33" s="359"/>
      <c r="E33" s="359"/>
      <c r="F33" s="359"/>
      <c r="G33" s="359"/>
    </row>
    <row r="34" spans="1:7" ht="12.75" customHeight="1" x14ac:dyDescent="0.2">
      <c r="A34" s="359" t="s">
        <v>207</v>
      </c>
      <c r="B34" s="359"/>
      <c r="C34" s="359"/>
      <c r="D34" s="359"/>
      <c r="E34" s="359"/>
      <c r="F34" s="359"/>
      <c r="G34" s="359"/>
    </row>
    <row r="35" spans="1:7" ht="12.75" customHeight="1" x14ac:dyDescent="0.2">
      <c r="A35" s="359" t="s">
        <v>572</v>
      </c>
      <c r="B35" s="359"/>
      <c r="C35" s="359"/>
      <c r="D35" s="359"/>
      <c r="E35" s="359"/>
      <c r="F35" s="359"/>
      <c r="G35" s="359"/>
    </row>
    <row r="36" spans="1:7" x14ac:dyDescent="0.2">
      <c r="A36" s="359" t="s">
        <v>571</v>
      </c>
      <c r="B36" s="359"/>
      <c r="C36" s="359"/>
      <c r="D36" s="359"/>
      <c r="E36" s="359"/>
      <c r="F36" s="359"/>
      <c r="G36" s="359"/>
    </row>
    <row r="37" spans="1:7" x14ac:dyDescent="0.2">
      <c r="A37" s="359" t="s">
        <v>570</v>
      </c>
      <c r="B37" s="359"/>
      <c r="C37" s="359"/>
      <c r="D37" s="359"/>
      <c r="E37" s="359"/>
      <c r="F37" s="359"/>
      <c r="G37" s="359"/>
    </row>
  </sheetData>
  <mergeCells count="7">
    <mergeCell ref="A35:G35"/>
    <mergeCell ref="A36:G36"/>
    <mergeCell ref="A37:G37"/>
    <mergeCell ref="E12:G12"/>
    <mergeCell ref="B12:D12"/>
    <mergeCell ref="A33:G33"/>
    <mergeCell ref="A34:G34"/>
  </mergeCells>
  <hyperlinks>
    <hyperlink ref="A8" location="Contents!A1" display="Return to Contents" xr:uid="{00000000-0004-0000-1100-000000000000}"/>
  </hyperlinks>
  <pageMargins left="0.75" right="0.75" top="1" bottom="1" header="0.5" footer="0.5"/>
  <pageSetup paperSize="9" scale="78" orientation="landscape" r:id="rId1"/>
  <headerFooter alignWithMargins="0"/>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pageSetUpPr fitToPage="1"/>
  </sheetPr>
  <dimension ref="A1:Z34"/>
  <sheetViews>
    <sheetView showGridLines="0" zoomScaleNormal="100" workbookViewId="0">
      <selection activeCell="A10" sqref="A10"/>
    </sheetView>
  </sheetViews>
  <sheetFormatPr defaultColWidth="9.140625" defaultRowHeight="12.95" customHeight="1" x14ac:dyDescent="0.2"/>
  <cols>
    <col min="1" max="1" width="3.140625" style="1" customWidth="1"/>
    <col min="2" max="2" width="57.85546875" style="1" customWidth="1"/>
    <col min="3" max="3" width="13.85546875" style="1" customWidth="1"/>
    <col min="4" max="4" width="14.85546875" style="1" customWidth="1"/>
    <col min="5" max="6" width="13.85546875" style="1" customWidth="1"/>
    <col min="7" max="7" width="14.85546875" style="1" customWidth="1"/>
    <col min="8" max="8" width="13.85546875" style="1" customWidth="1"/>
    <col min="9" max="11" width="9.140625" style="1"/>
    <col min="12" max="12" width="59.140625" style="1" bestFit="1" customWidth="1"/>
    <col min="13" max="16384" width="9.140625" style="1"/>
  </cols>
  <sheetData>
    <row r="1" spans="1:26" s="7" customFormat="1" ht="12.95" customHeight="1" x14ac:dyDescent="0.2">
      <c r="E1" s="9"/>
      <c r="G1" s="9"/>
      <c r="Z1" s="8"/>
    </row>
    <row r="2" spans="1:26" s="7" customFormat="1" ht="12.95" customHeight="1" x14ac:dyDescent="0.2">
      <c r="E2" s="9"/>
      <c r="G2" s="9"/>
      <c r="Z2" s="8"/>
    </row>
    <row r="3" spans="1:26" s="7" customFormat="1" ht="12.95" customHeight="1" x14ac:dyDescent="0.2">
      <c r="E3" s="9"/>
      <c r="G3" s="9"/>
      <c r="Z3" s="8"/>
    </row>
    <row r="4" spans="1:26" s="7" customFormat="1" ht="12.95" customHeight="1" x14ac:dyDescent="0.2">
      <c r="E4" s="9"/>
      <c r="G4" s="9"/>
      <c r="Z4" s="8"/>
    </row>
    <row r="5" spans="1:26" s="7" customFormat="1" ht="12.95" customHeight="1" x14ac:dyDescent="0.2">
      <c r="E5" s="9"/>
      <c r="G5" s="9"/>
      <c r="Z5" s="8"/>
    </row>
    <row r="6" spans="1:26" s="7" customFormat="1" ht="12.95" customHeight="1" x14ac:dyDescent="0.2">
      <c r="E6" s="9"/>
      <c r="G6" s="9"/>
      <c r="Z6" s="8"/>
    </row>
    <row r="8" spans="1:26" ht="14.25" customHeight="1" x14ac:dyDescent="0.2">
      <c r="A8" s="376" t="s">
        <v>193</v>
      </c>
      <c r="B8" s="376"/>
    </row>
    <row r="9" spans="1:26" ht="12.75" customHeight="1" x14ac:dyDescent="0.2"/>
    <row r="10" spans="1:26" ht="22.5" customHeight="1" x14ac:dyDescent="0.2">
      <c r="A10" s="133" t="s">
        <v>127</v>
      </c>
      <c r="B10" s="128"/>
      <c r="C10" s="128"/>
    </row>
    <row r="11" spans="1:26" ht="12.95" customHeight="1" x14ac:dyDescent="0.2">
      <c r="A11" s="2"/>
    </row>
    <row r="12" spans="1:26" ht="12.95" customHeight="1" x14ac:dyDescent="0.2">
      <c r="C12" s="369" t="s">
        <v>265</v>
      </c>
      <c r="D12" s="392"/>
      <c r="E12" s="370"/>
      <c r="F12" s="369" t="s">
        <v>538</v>
      </c>
      <c r="G12" s="392"/>
      <c r="H12" s="370"/>
      <c r="M12" s="17"/>
    </row>
    <row r="13" spans="1:26" ht="12.95" customHeight="1" x14ac:dyDescent="0.2">
      <c r="A13" s="393" t="s">
        <v>126</v>
      </c>
      <c r="B13" s="394"/>
      <c r="C13" s="93" t="s">
        <v>125</v>
      </c>
      <c r="D13" s="129" t="s">
        <v>124</v>
      </c>
      <c r="E13" s="55" t="s">
        <v>1</v>
      </c>
      <c r="F13" s="93" t="s">
        <v>125</v>
      </c>
      <c r="G13" s="129" t="s">
        <v>124</v>
      </c>
      <c r="H13" s="55" t="s">
        <v>1</v>
      </c>
    </row>
    <row r="14" spans="1:26" ht="12.95" customHeight="1" x14ac:dyDescent="0.2">
      <c r="A14" s="96">
        <v>1</v>
      </c>
      <c r="B14" s="35" t="s">
        <v>123</v>
      </c>
      <c r="C14" s="198">
        <v>54494</v>
      </c>
      <c r="D14" s="217">
        <v>207</v>
      </c>
      <c r="E14" s="218">
        <v>54701</v>
      </c>
      <c r="F14" s="198">
        <v>56772</v>
      </c>
      <c r="G14" s="217">
        <v>184</v>
      </c>
      <c r="H14" s="218">
        <v>56956</v>
      </c>
    </row>
    <row r="15" spans="1:26" ht="12.95" customHeight="1" x14ac:dyDescent="0.2">
      <c r="A15" s="96">
        <v>2</v>
      </c>
      <c r="B15" s="86" t="s">
        <v>122</v>
      </c>
      <c r="C15" s="219">
        <v>68744</v>
      </c>
      <c r="D15" s="220">
        <v>320</v>
      </c>
      <c r="E15" s="221">
        <v>69064</v>
      </c>
      <c r="F15" s="219">
        <v>66271</v>
      </c>
      <c r="G15" s="220">
        <v>183</v>
      </c>
      <c r="H15" s="221">
        <v>66454</v>
      </c>
    </row>
    <row r="16" spans="1:26" ht="12.95" customHeight="1" x14ac:dyDescent="0.2">
      <c r="A16" s="96">
        <v>3</v>
      </c>
      <c r="B16" s="86" t="s">
        <v>121</v>
      </c>
      <c r="C16" s="219">
        <v>19353</v>
      </c>
      <c r="D16" s="220">
        <v>180</v>
      </c>
      <c r="E16" s="221">
        <v>19533</v>
      </c>
      <c r="F16" s="219">
        <v>18154</v>
      </c>
      <c r="G16" s="220">
        <v>161</v>
      </c>
      <c r="H16" s="221">
        <v>18315</v>
      </c>
    </row>
    <row r="17" spans="1:15" ht="12.95" customHeight="1" x14ac:dyDescent="0.2">
      <c r="A17" s="96">
        <v>4</v>
      </c>
      <c r="B17" s="86" t="s">
        <v>120</v>
      </c>
      <c r="C17" s="219">
        <v>70538</v>
      </c>
      <c r="D17" s="220">
        <v>409</v>
      </c>
      <c r="E17" s="221">
        <v>70947</v>
      </c>
      <c r="F17" s="219">
        <v>69524</v>
      </c>
      <c r="G17" s="220">
        <v>436</v>
      </c>
      <c r="H17" s="221">
        <v>69960</v>
      </c>
    </row>
    <row r="18" spans="1:15" ht="12.95" customHeight="1" x14ac:dyDescent="0.2">
      <c r="A18" s="96">
        <v>5</v>
      </c>
      <c r="B18" s="86" t="s">
        <v>119</v>
      </c>
      <c r="C18" s="219">
        <v>4692</v>
      </c>
      <c r="D18" s="220">
        <v>301</v>
      </c>
      <c r="E18" s="221">
        <v>4993</v>
      </c>
      <c r="F18" s="219">
        <v>5834</v>
      </c>
      <c r="G18" s="220">
        <v>628</v>
      </c>
      <c r="H18" s="221">
        <v>6462</v>
      </c>
    </row>
    <row r="19" spans="1:15" ht="12.95" customHeight="1" x14ac:dyDescent="0.2">
      <c r="A19" s="96">
        <v>6</v>
      </c>
      <c r="B19" s="86" t="s">
        <v>118</v>
      </c>
      <c r="C19" s="219">
        <v>8986</v>
      </c>
      <c r="D19" s="220">
        <v>1940</v>
      </c>
      <c r="E19" s="221">
        <v>10926</v>
      </c>
      <c r="F19" s="219">
        <v>9501</v>
      </c>
      <c r="G19" s="220">
        <v>1935</v>
      </c>
      <c r="H19" s="221">
        <v>11436</v>
      </c>
    </row>
    <row r="20" spans="1:15" ht="12.95" customHeight="1" x14ac:dyDescent="0.2">
      <c r="A20" s="96">
        <v>7</v>
      </c>
      <c r="B20" s="86" t="s">
        <v>117</v>
      </c>
      <c r="C20" s="219">
        <v>4647</v>
      </c>
      <c r="D20" s="220">
        <v>1829</v>
      </c>
      <c r="E20" s="221">
        <v>6476</v>
      </c>
      <c r="F20" s="219">
        <v>4668</v>
      </c>
      <c r="G20" s="220">
        <v>1763</v>
      </c>
      <c r="H20" s="221">
        <v>6431</v>
      </c>
    </row>
    <row r="21" spans="1:15" ht="12.95" customHeight="1" x14ac:dyDescent="0.2">
      <c r="A21" s="96">
        <v>8</v>
      </c>
      <c r="B21" s="86" t="s">
        <v>116</v>
      </c>
      <c r="C21" s="219">
        <v>119</v>
      </c>
      <c r="D21" s="220">
        <v>698</v>
      </c>
      <c r="E21" s="221">
        <v>817</v>
      </c>
      <c r="F21" s="219">
        <v>76</v>
      </c>
      <c r="G21" s="220">
        <v>464</v>
      </c>
      <c r="H21" s="221">
        <v>540</v>
      </c>
    </row>
    <row r="22" spans="1:15" ht="12.95" customHeight="1" x14ac:dyDescent="0.2">
      <c r="A22" s="96">
        <v>9</v>
      </c>
      <c r="B22" s="86" t="s">
        <v>115</v>
      </c>
      <c r="C22" s="219">
        <v>3847</v>
      </c>
      <c r="D22" s="220">
        <v>1890</v>
      </c>
      <c r="E22" s="221">
        <v>5737</v>
      </c>
      <c r="F22" s="219">
        <v>3188</v>
      </c>
      <c r="G22" s="220">
        <v>1845</v>
      </c>
      <c r="H22" s="221">
        <v>5033</v>
      </c>
    </row>
    <row r="23" spans="1:15" ht="12.95" customHeight="1" x14ac:dyDescent="0.2">
      <c r="A23" s="96">
        <v>10</v>
      </c>
      <c r="B23" s="86" t="s">
        <v>114</v>
      </c>
      <c r="C23" s="299">
        <v>0</v>
      </c>
      <c r="D23" s="300">
        <v>0</v>
      </c>
      <c r="E23" s="301">
        <v>0</v>
      </c>
      <c r="F23" s="299">
        <v>0</v>
      </c>
      <c r="G23" s="300">
        <v>0</v>
      </c>
      <c r="H23" s="301">
        <v>0</v>
      </c>
    </row>
    <row r="24" spans="1:15" ht="12.95" customHeight="1" x14ac:dyDescent="0.2">
      <c r="A24" s="96">
        <v>11</v>
      </c>
      <c r="B24" s="86" t="s">
        <v>113</v>
      </c>
      <c r="C24" s="246">
        <v>0</v>
      </c>
      <c r="D24" s="247">
        <v>0</v>
      </c>
      <c r="E24" s="248">
        <v>0</v>
      </c>
      <c r="F24" s="246">
        <v>0</v>
      </c>
      <c r="G24" s="247">
        <v>0</v>
      </c>
      <c r="H24" s="248">
        <v>0</v>
      </c>
    </row>
    <row r="25" spans="1:15" ht="12.95" customHeight="1" x14ac:dyDescent="0.2">
      <c r="A25" s="96">
        <v>12</v>
      </c>
      <c r="B25" s="86" t="s">
        <v>112</v>
      </c>
      <c r="C25" s="202">
        <v>1076</v>
      </c>
      <c r="D25" s="194">
        <v>33</v>
      </c>
      <c r="E25" s="242">
        <v>1109</v>
      </c>
      <c r="F25" s="202">
        <v>1156</v>
      </c>
      <c r="G25" s="194">
        <v>263</v>
      </c>
      <c r="H25" s="242">
        <v>1419</v>
      </c>
    </row>
    <row r="26" spans="1:15" ht="12.95" customHeight="1" x14ac:dyDescent="0.2">
      <c r="A26" s="96">
        <v>13</v>
      </c>
      <c r="B26" s="86" t="s">
        <v>111</v>
      </c>
      <c r="C26" s="191">
        <v>1455</v>
      </c>
      <c r="D26" s="213">
        <v>33</v>
      </c>
      <c r="E26" s="243">
        <v>1488</v>
      </c>
      <c r="F26" s="191">
        <v>1027</v>
      </c>
      <c r="G26" s="213">
        <v>108</v>
      </c>
      <c r="H26" s="243">
        <v>1135</v>
      </c>
    </row>
    <row r="27" spans="1:15" ht="12.95" customHeight="1" x14ac:dyDescent="0.2">
      <c r="A27" s="383" t="s">
        <v>1</v>
      </c>
      <c r="B27" s="384"/>
      <c r="C27" s="203">
        <v>237951</v>
      </c>
      <c r="D27" s="244">
        <v>7840</v>
      </c>
      <c r="E27" s="245">
        <v>245791</v>
      </c>
      <c r="F27" s="203">
        <v>236171</v>
      </c>
      <c r="G27" s="244">
        <v>7970</v>
      </c>
      <c r="H27" s="245">
        <v>244141</v>
      </c>
    </row>
    <row r="28" spans="1:15" ht="12.95" customHeight="1" x14ac:dyDescent="0.2">
      <c r="A28" s="35"/>
      <c r="B28" s="30"/>
      <c r="C28" s="30"/>
      <c r="D28" s="30"/>
    </row>
    <row r="29" spans="1:15" s="71" customFormat="1" ht="12.75" x14ac:dyDescent="0.2">
      <c r="A29" s="395" t="s">
        <v>539</v>
      </c>
      <c r="B29" s="395"/>
      <c r="C29" s="70"/>
      <c r="D29" s="70"/>
      <c r="E29" s="70"/>
      <c r="F29" s="70"/>
      <c r="K29" s="1"/>
      <c r="L29" s="1"/>
      <c r="M29" s="1"/>
      <c r="N29" s="1"/>
      <c r="O29" s="1"/>
    </row>
    <row r="30" spans="1:15" ht="12.75" x14ac:dyDescent="0.2">
      <c r="A30" s="13"/>
      <c r="B30" s="6"/>
      <c r="C30" s="5"/>
      <c r="D30" s="6"/>
      <c r="E30" s="5"/>
    </row>
    <row r="31" spans="1:15" ht="12.75" x14ac:dyDescent="0.2">
      <c r="A31" s="396" t="s">
        <v>202</v>
      </c>
      <c r="B31" s="396"/>
      <c r="K31" s="71"/>
      <c r="L31" s="71"/>
      <c r="M31" s="71"/>
      <c r="N31" s="71"/>
      <c r="O31" s="71"/>
    </row>
    <row r="32" spans="1:15" ht="12.75" x14ac:dyDescent="0.2">
      <c r="A32" s="359" t="s">
        <v>546</v>
      </c>
      <c r="B32" s="359"/>
      <c r="C32" s="359"/>
      <c r="D32" s="359"/>
      <c r="E32" s="359"/>
      <c r="F32" s="359"/>
      <c r="G32" s="359"/>
      <c r="H32" s="359"/>
    </row>
    <row r="33" spans="1:8" ht="12.75" x14ac:dyDescent="0.2">
      <c r="A33" s="366" t="s">
        <v>207</v>
      </c>
      <c r="B33" s="366"/>
      <c r="C33" s="366"/>
      <c r="D33" s="366"/>
      <c r="E33" s="366"/>
      <c r="F33" s="366"/>
      <c r="G33" s="366"/>
      <c r="H33" s="366"/>
    </row>
    <row r="34" spans="1:8" ht="25.5" customHeight="1" x14ac:dyDescent="0.2">
      <c r="A34" s="356"/>
      <c r="B34" s="356"/>
      <c r="C34" s="356"/>
      <c r="D34" s="356"/>
      <c r="E34" s="356"/>
    </row>
  </sheetData>
  <mergeCells count="10">
    <mergeCell ref="A34:E34"/>
    <mergeCell ref="A8:B8"/>
    <mergeCell ref="F12:H12"/>
    <mergeCell ref="A27:B27"/>
    <mergeCell ref="A13:B13"/>
    <mergeCell ref="C12:E12"/>
    <mergeCell ref="A29:B29"/>
    <mergeCell ref="A31:B31"/>
    <mergeCell ref="A32:H32"/>
    <mergeCell ref="A33:H33"/>
  </mergeCells>
  <hyperlinks>
    <hyperlink ref="A8" location="Contents!A1" display="Return to Contents" xr:uid="{00000000-0004-0000-1200-000000000000}"/>
  </hyperlinks>
  <pageMargins left="0.75" right="0.75" top="1" bottom="1" header="0.5" footer="0.5"/>
  <pageSetup paperSize="9" scale="90" orientation="landscape" horizontalDpi="1200" verticalDpi="1200" r:id="rId1"/>
  <headerFooter alignWithMargins="0"/>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item1.xml><?xml version="1.0" encoding="utf-8"?>
<?mso-contentType ?>
<SharedContentType xmlns="Microsoft.SharePoint.Taxonomy.ContentTypeSync" SourceId="bb72b7f4-c981-47a4-a26e-043e4b78ebf3" ContentTypeId="0x010100CE61D9DC7AFC6844B595FD0A55B75DF702" PreviousValue="false"/>
</file>

<file path=customXml/item2.xml><?xml version="1.0" encoding="utf-8"?>
<ct:contentTypeSchema xmlns:ct="http://schemas.microsoft.com/office/2006/metadata/contentType" xmlns:ma="http://schemas.microsoft.com/office/2006/metadata/properties/metaAttributes" ct:_="" ma:_="" ma:contentTypeName="NHSD Portfolio Excel Document (8 years)" ma:contentTypeID="0x010100CE61D9DC7AFC6844B595FD0A55B75DF702006D2A3ED82F0632468A60C134A51A4DF3" ma:contentTypeVersion="1954" ma:contentTypeDescription="" ma:contentTypeScope="" ma:versionID="0de3859a6511e1fb7d2f6c65a9dabaf1">
  <xsd:schema xmlns:xsd="http://www.w3.org/2001/XMLSchema" xmlns:xs="http://www.w3.org/2001/XMLSchema" xmlns:p="http://schemas.microsoft.com/office/2006/metadata/properties" xmlns:ns1="http://schemas.microsoft.com/sharepoint/v3" xmlns:ns2="5668c8bc-6c30-45e9-80ca-5109d4270dfd" xmlns:ns3="2c0b3723-ae66-45ac-94fb-aaf049c45b50" targetNamespace="http://schemas.microsoft.com/office/2006/metadata/properties" ma:root="true" ma:fieldsID="cb4ff6c3eecdcfc3e009a9e113ba3b05" ns1:_="" ns2:_="" ns3:_="">
    <xsd:import namespace="http://schemas.microsoft.com/sharepoint/v3"/>
    <xsd:import namespace="5668c8bc-6c30-45e9-80ca-5109d4270dfd"/>
    <xsd:import namespace="2c0b3723-ae66-45ac-94fb-aaf049c45b50"/>
    <xsd:element name="properties">
      <xsd:complexType>
        <xsd:sequence>
          <xsd:element name="documentManagement">
            <xsd:complexType>
              <xsd:all>
                <xsd:element ref="ns2:ApprovalDate" minOccurs="0"/>
                <xsd:element ref="ns2:ApproverName" minOccurs="0"/>
                <xsd:element ref="ns2:AuthorName" minOccurs="0"/>
                <xsd:element ref="ns2:AuthoredDate"/>
                <xsd:element ref="ns2:InformationAudience" minOccurs="0"/>
                <xsd:element ref="ns2:InformationSource" minOccurs="0"/>
                <xsd:element ref="ns2:InformationStatus"/>
                <xsd:element ref="ns2:e076e489fa624670a6d5030aa6510568" minOccurs="0"/>
                <xsd:element ref="ns2:TaxCatchAll" minOccurs="0"/>
                <xsd:element ref="ns2:TaxCatchAllLabel" minOccurs="0"/>
                <xsd:element ref="ns2:InformationVersion" minOccurs="0"/>
                <xsd:element ref="ns2:i8502cb9d1b74c4f9e1ea45824336350" minOccurs="0"/>
                <xsd:element ref="ns2:SecurityClassification"/>
                <xsd:element ref="ns2:SecurityDescriptor" minOccurs="0"/>
                <xsd:element ref="ns2:Summary" minOccurs="0"/>
                <xsd:element ref="ns1:_dlc_Exempt" minOccurs="0"/>
                <xsd:element ref="ns1:_dlc_ExpireDateSaved" minOccurs="0"/>
                <xsd:element ref="ns1:_dlc_ExpireDate" minOccurs="0"/>
                <xsd:element ref="ns3:_dlc_DocId" minOccurs="0"/>
                <xsd:element ref="ns3:_dlc_DocIdUrl" minOccurs="0"/>
                <xsd:element ref="ns3: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dlc_Exempt" ma:index="25" nillable="true" ma:displayName="Exempt from Policy" ma:hidden="true" ma:internalName="_dlc_Exempt" ma:readOnly="true">
      <xsd:simpleType>
        <xsd:restriction base="dms:Unknown"/>
      </xsd:simpleType>
    </xsd:element>
    <xsd:element name="_dlc_ExpireDateSaved" ma:index="26" nillable="true" ma:displayName="Original Expiration Date" ma:hidden="true" ma:internalName="_dlc_ExpireDateSaved" ma:readOnly="true">
      <xsd:simpleType>
        <xsd:restriction base="dms:DateTime"/>
      </xsd:simpleType>
    </xsd:element>
    <xsd:element name="_dlc_ExpireDate" ma:index="27" nillable="true" ma:displayName="Expiration Date" ma:description="" ma:hidden="true" ma:indexed="true" ma:internalName="_dlc_ExpireDate" ma:readOnly="true">
      <xsd:simpleType>
        <xsd:restriction base="dms:DateTime"/>
      </xsd:simpleType>
    </xsd:element>
  </xsd:schema>
  <xsd:schema xmlns:xsd="http://www.w3.org/2001/XMLSchema" xmlns:xs="http://www.w3.org/2001/XMLSchema" xmlns:dms="http://schemas.microsoft.com/office/2006/documentManagement/types" xmlns:pc="http://schemas.microsoft.com/office/infopath/2007/PartnerControls" targetNamespace="5668c8bc-6c30-45e9-80ca-5109d4270dfd" elementFormDefault="qualified">
    <xsd:import namespace="http://schemas.microsoft.com/office/2006/documentManagement/types"/>
    <xsd:import namespace="http://schemas.microsoft.com/office/infopath/2007/PartnerControls"/>
    <xsd:element name="ApprovalDate" ma:index="8" nillable="true" ma:displayName="Approval Date" ma:default="[Today]" ma:internalName="ApprovalDate">
      <xsd:simpleType>
        <xsd:restriction base="dms:DateTime"/>
      </xsd:simpleType>
    </xsd:element>
    <xsd:element name="ApproverName" ma:index="9" nillable="true" ma:displayName="Approver Name" ma:internalName="ApproverName">
      <xsd:simpleType>
        <xsd:restriction base="dms:Text"/>
      </xsd:simpleType>
    </xsd:element>
    <xsd:element name="AuthorName" ma:index="10" nillable="true" ma:displayName="Author Name" ma:description="The name of the primary author or contact" ma:internalName="Author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AuthoredDate" ma:index="11" ma:displayName="Authored Date" ma:default="[Today]" ma:internalName="AuthoredDate" ma:readOnly="false">
      <xsd:simpleType>
        <xsd:restriction base="dms:DateTime"/>
      </xsd:simpleType>
    </xsd:element>
    <xsd:element name="InformationAudience" ma:index="12" nillable="true" ma:displayName="Information Audience" ma:default="NHS Digital" ma:description="A category of user for whom the resource is intended" ma:internalName="InformationAudience">
      <xsd:simpleType>
        <xsd:restriction base="dms:Text"/>
      </xsd:simpleType>
    </xsd:element>
    <xsd:element name="InformationSource" ma:index="13" nillable="true" ma:displayName="Information Source" ma:description="The source from which the described resource is derived" ma:internalName="InformationSource">
      <xsd:simpleType>
        <xsd:restriction base="dms:Text"/>
      </xsd:simpleType>
    </xsd:element>
    <xsd:element name="InformationStatus" ma:index="14" ma:displayName="Information Status" ma:default="Draft" ma:description="The position of state of the resource" ma:internalName="InformationStatus">
      <xsd:simpleType>
        <xsd:restriction base="dms:Choice">
          <xsd:enumeration value="Draft"/>
          <xsd:enumeration value="In Review"/>
          <xsd:enumeration value="Approved"/>
          <xsd:enumeration value="Archived"/>
          <xsd:enumeration value="Public"/>
        </xsd:restriction>
      </xsd:simpleType>
    </xsd:element>
    <xsd:element name="e076e489fa624670a6d5030aa6510568" ma:index="15" ma:taxonomy="true" ma:internalName="e076e489fa624670a6d5030aa6510568" ma:taxonomyFieldName="InformationType" ma:displayName="Information Type" ma:default="" ma:fieldId="{e076e489-fa62-4670-a6d5-030aa6510568}" ma:taxonomyMulti="true" ma:sspId="bb72b7f4-c981-47a4-a26e-043e4b78ebf3" ma:termSetId="62923a2f-f421-4e6f-b03c-6d9050967a32" ma:anchorId="00000000-0000-0000-0000-000000000000" ma:open="false" ma:isKeyword="false">
      <xsd:complexType>
        <xsd:sequence>
          <xsd:element ref="pc:Terms" minOccurs="0" maxOccurs="1"/>
        </xsd:sequence>
      </xsd:complexType>
    </xsd:element>
    <xsd:element name="TaxCatchAll" ma:index="16" nillable="true" ma:displayName="Taxonomy Catch All Column" ma:hidden="true" ma:list="{c9ed41e6-8f0f-4549-bd5e-d9234cf3aa2a}" ma:internalName="TaxCatchAll" ma:showField="CatchAllData" ma:web="2c0b3723-ae66-45ac-94fb-aaf049c45b50">
      <xsd:complexType>
        <xsd:complexContent>
          <xsd:extension base="dms:MultiChoiceLookup">
            <xsd:sequence>
              <xsd:element name="Value" type="dms:Lookup" maxOccurs="unbounded" minOccurs="0" nillable="true"/>
            </xsd:sequence>
          </xsd:extension>
        </xsd:complexContent>
      </xsd:complexType>
    </xsd:element>
    <xsd:element name="TaxCatchAllLabel" ma:index="17" nillable="true" ma:displayName="Taxonomy Catch All Column1" ma:hidden="true" ma:list="{c9ed41e6-8f0f-4549-bd5e-d9234cf3aa2a}" ma:internalName="TaxCatchAllLabel" ma:readOnly="true" ma:showField="CatchAllDataLabel" ma:web="2c0b3723-ae66-45ac-94fb-aaf049c45b50">
      <xsd:complexType>
        <xsd:complexContent>
          <xsd:extension base="dms:MultiChoiceLookup">
            <xsd:sequence>
              <xsd:element name="Value" type="dms:Lookup" maxOccurs="unbounded" minOccurs="0" nillable="true"/>
            </xsd:sequence>
          </xsd:extension>
        </xsd:complexContent>
      </xsd:complexType>
    </xsd:element>
    <xsd:element name="InformationVersion" ma:index="19" nillable="true" ma:displayName="Information Version" ma:decimals="2" ma:description="Identifies version number of the resource" ma:internalName="InformationVersion">
      <xsd:simpleType>
        <xsd:restriction base="dms:Number">
          <xsd:maxInclusive value="5000"/>
          <xsd:minInclusive value="0"/>
        </xsd:restriction>
      </xsd:simpleType>
    </xsd:element>
    <xsd:element name="i8502cb9d1b74c4f9e1ea45824336350" ma:index="20" nillable="true" ma:taxonomy="true" ma:internalName="i8502cb9d1b74c4f9e1ea45824336350" ma:taxonomyFieldName="PortfolioCode" ma:displayName="Portfolio Code" ma:default="" ma:fieldId="{28502cb9-d1b7-4c4f-9e1e-a45824336350}" ma:sspId="bb72b7f4-c981-47a4-a26e-043e4b78ebf3" ma:termSetId="83dca0dc-49f4-4ab6-814d-a10e46f2d065" ma:anchorId="00000000-0000-0000-0000-000000000000" ma:open="true" ma:isKeyword="false">
      <xsd:complexType>
        <xsd:sequence>
          <xsd:element ref="pc:Terms" minOccurs="0" maxOccurs="1"/>
        </xsd:sequence>
      </xsd:complexType>
    </xsd:element>
    <xsd:element name="SecurityClassification" ma:index="22" ma:displayName="Security Classification" ma:default="Official" ma:format="Dropdown" ma:internalName="SecurityClassification">
      <xsd:simpleType>
        <xsd:restriction base="dms:Choice">
          <xsd:enumeration value="Official"/>
          <xsd:enumeration value="Official - Sensitive"/>
        </xsd:restriction>
      </xsd:simpleType>
    </xsd:element>
    <xsd:element name="SecurityDescriptor" ma:index="23" nillable="true" ma:displayName="Security Descriptor" ma:format="Dropdown" ma:internalName="SecurityDescriptor">
      <xsd:simpleType>
        <xsd:restriction base="dms:Choice">
          <xsd:enumeration value="Commercial"/>
          <xsd:enumeration value="Personal"/>
          <xsd:enumeration value="Local Sensitive (LOCSEN)"/>
        </xsd:restriction>
      </xsd:simpleType>
    </xsd:element>
    <xsd:element name="Summary" ma:index="24" nillable="true" ma:displayName="Summary" ma:description="An account of the content of the resource" ma:internalName="Summary">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2c0b3723-ae66-45ac-94fb-aaf049c45b50" elementFormDefault="qualified">
    <xsd:import namespace="http://schemas.microsoft.com/office/2006/documentManagement/types"/>
    <xsd:import namespace="http://schemas.microsoft.com/office/infopath/2007/PartnerControls"/>
    <xsd:element name="_dlc_DocId" ma:index="28" nillable="true" ma:displayName="Document ID Value" ma:description="The value of the document ID assigned to this item." ma:internalName="_dlc_DocId" ma:readOnly="true">
      <xsd:simpleType>
        <xsd:restriction base="dms:Text"/>
      </xsd:simpleType>
    </xsd:element>
    <xsd:element name="_dlc_DocIdUrl" ma:index="2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3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spe:Receivers xmlns:spe="http://schemas.microsoft.com/sharepoint/events">
  <Receiver>
    <Name>Microsoft.Office.RecordsManagement.PolicyFeatures.ExpirationEventReceiver</Name>
    <Synchronization>Synchronous</Synchronization>
    <Type>10001</Type>
    <SequenceNumber>101</SequenceNumber>
    <Url/>
    <Assembly>Microsoft.Office.Policy, Version=16.0.0.0, Culture=neutral, PublicKeyToken=71e9bce111e9429c</Assembly>
    <Class>Microsoft.Office.RecordsManagement.Internal.UpdateExpireDate</Class>
    <Data/>
    <Filter/>
  </Receiver>
  <Receiver>
    <Name>Microsoft.Office.RecordsManagement.PolicyFeatures.ExpirationEventReceiver</Name>
    <Synchronization>Synchronous</Synchronization>
    <Type>10002</Type>
    <SequenceNumber>102</SequenceNumber>
    <Url/>
    <Assembly>Microsoft.Office.Policy, Version=16.0.0.0, Culture=neutral, PublicKeyToken=71e9bce111e9429c</Assembly>
    <Class>Microsoft.Office.RecordsManagement.Internal.UpdateExpireDate</Class>
    <Data/>
    <Filter/>
  </Receiver>
  <Receiver>
    <Name>Microsoft.Office.RecordsManagement.PolicyFeatures.ExpirationEventReceiver</Name>
    <Synchronization>Synchronous</Synchronization>
    <Type>10004</Type>
    <SequenceNumber>103</SequenceNumber>
    <Url/>
    <Assembly>Microsoft.Office.Policy, Version=16.0.0.0, Culture=neutral, PublicKeyToken=71e9bce111e9429c</Assembly>
    <Class>Microsoft.Office.RecordsManagement.Internal.UpdateExpireDate</Class>
    <Data/>
    <Filter/>
  </Receiver>
  <Receiver>
    <Name>Microsoft.Office.RecordsManagement.PolicyFeatures.ExpirationEventReceiver</Name>
    <Synchronization>Synchronous</Synchronization>
    <Type>10006</Type>
    <SequenceNumber>104</SequenceNumber>
    <Url/>
    <Assembly>Microsoft.Office.Policy, Version=16.0.0.0, Culture=neutral, PublicKeyToken=71e9bce111e9429c</Assembly>
    <Class>Microsoft.Office.RecordsManagement.Internal.UpdateExpireDate</Class>
    <Data/>
    <Filter/>
  </Receiver>
  <Receiver>
    <Name>Microsoft.Office.RecordsManagement.PolicyFeatures.ExpirationEventReceiver</Name>
    <Synchronization>Synchronous</Synchronization>
    <Type>10009</Type>
    <SequenceNumber>105</SequenceNumber>
    <Url/>
    <Assembly>Microsoft.Office.Policy, Version=16.0.0.0, Culture=neutral, PublicKeyToken=71e9bce111e9429c</Assembly>
    <Class>Microsoft.Office.RecordsManagement.Internal.UpdateExpireDate</Class>
    <Data/>
    <Filter/>
  </Receiver>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4.xml><?xml version="1.0" encoding="utf-8"?>
<?mso-contentType ?>
<FormTemplates xmlns="http://schemas.microsoft.com/sharepoint/v3/contenttype/forms">
  <Display>DocumentLibraryForm</Display>
  <Edit>DocumentLibraryForm</Edit>
  <New>DocumentLibraryForm</New>
</FormTemplates>
</file>

<file path=customXml/item5.xml><?xml version="1.0" encoding="utf-8"?>
<p:properties xmlns:p="http://schemas.microsoft.com/office/2006/metadata/properties" xmlns:xsi="http://www.w3.org/2001/XMLSchema-instance" xmlns:pc="http://schemas.microsoft.com/office/infopath/2007/PartnerControls">
  <documentManagement>
    <_dlc_DocId xmlns="2c0b3723-ae66-45ac-94fb-aaf049c45b50">NHSD-2119-1251272291-859</_dlc_DocId>
    <_dlc_DocIdUrl xmlns="2c0b3723-ae66-45ac-94fb-aaf049c45b50">
      <Url>https://hscic365.sharepoint.com/sites/Teams%202/SUSprogramme/sushesanalysis/criticalcare/_layouts/15/DocIdRedir.aspx?ID=NHSD-2119-1251272291-859</Url>
      <Description>NHSD-2119-1251272291-859</Description>
    </_dlc_DocIdUrl>
    <InformationStatus xmlns="5668c8bc-6c30-45e9-80ca-5109d4270dfd">Draft</InformationStatus>
    <AuthoredDate xmlns="5668c8bc-6c30-45e9-80ca-5109d4270dfd">2018-09-18T11:39:42+00:00</AuthoredDate>
    <SecurityClassification xmlns="5668c8bc-6c30-45e9-80ca-5109d4270dfd">Official</SecurityClassification>
    <InformationAudience xmlns="5668c8bc-6c30-45e9-80ca-5109d4270dfd">NHS Digital</InformationAudience>
    <InformationVersion xmlns="5668c8bc-6c30-45e9-80ca-5109d4270dfd" xsi:nil="true"/>
    <Summary xmlns="5668c8bc-6c30-45e9-80ca-5109d4270dfd" xsi:nil="true"/>
    <ApprovalDate xmlns="5668c8bc-6c30-45e9-80ca-5109d4270dfd">2018-10-21T15:30:37+00:00</ApprovalDate>
    <ApproverName xmlns="5668c8bc-6c30-45e9-80ca-5109d4270dfd" xsi:nil="true"/>
    <i8502cb9d1b74c4f9e1ea45824336350 xmlns="5668c8bc-6c30-45e9-80ca-5109d4270dfd">
      <Terms xmlns="http://schemas.microsoft.com/office/infopath/2007/PartnerControls"/>
    </i8502cb9d1b74c4f9e1ea45824336350>
    <SecurityDescriptor xmlns="5668c8bc-6c30-45e9-80ca-5109d4270dfd" xsi:nil="true"/>
    <InformationSource xmlns="5668c8bc-6c30-45e9-80ca-5109d4270dfd" xsi:nil="true"/>
    <TaxCatchAll xmlns="5668c8bc-6c30-45e9-80ca-5109d4270dfd">
      <Value>14</Value>
    </TaxCatchAll>
    <AuthorName xmlns="5668c8bc-6c30-45e9-80ca-5109d4270dfd">
      <UserInfo>
        <DisplayName/>
        <AccountId xsi:nil="true"/>
        <AccountType/>
      </UserInfo>
    </AuthorName>
    <e076e489fa624670a6d5030aa6510568 xmlns="5668c8bc-6c30-45e9-80ca-5109d4270dfd">
      <Terms xmlns="http://schemas.microsoft.com/office/infopath/2007/PartnerControls">
        <TermInfo xmlns="http://schemas.microsoft.com/office/infopath/2007/PartnerControls">
          <TermName xmlns="http://schemas.microsoft.com/office/infopath/2007/PartnerControls">Document</TermName>
          <TermId xmlns="http://schemas.microsoft.com/office/infopath/2007/PartnerControls">6113f30c-7b54-4978-b917-a373efb61b62</TermId>
        </TermInfo>
      </Terms>
    </e076e489fa624670a6d5030aa6510568>
    <_dlc_ExpireDateSaved xmlns="http://schemas.microsoft.com/sharepoint/v3" xsi:nil="true"/>
    <_dlc_ExpireDate xmlns="http://schemas.microsoft.com/sharepoint/v3">2026-09-18T11:39:42+00:00</_dlc_ExpireDate>
  </documentManagement>
</p:properties>
</file>

<file path=customXml/item6.xml><?xml version="1.0" encoding="utf-8"?>
<?mso-contentType ?>
<p:Policy xmlns:p="office.server.policy" id="" local="true">
  <p:Name>NHSD Portfolio Document (8 years)</p:Name>
  <p:Description/>
  <p:Statement>This document implements 8 years retention from Authored Date</p:Statement>
  <p:PolicyItems>
    <p:PolicyItem featureId="Microsoft.Office.RecordsManagement.PolicyFeatures.Expiration" staticId="0x010100CE61D9DC7AFC6844B595FD0A55B75DF7|-2054357789" UniqueId="c9a81329-e124-4cbc-9b7a-8099d020f266">
      <p:Name>Retention</p:Name>
      <p:Description>Automatic scheduling of content for processing, and performing a retention action on content that has reached its due date.</p:Description>
      <p:CustomData>
        <Schedules nextStageId="3">
          <Schedule type="Default">
            <stages>
              <data stageId="1">
                <formula id="Microsoft.Office.RecordsManagement.PolicyFeatures.Expiration.Formula.BuiltIn">
                  <number>8</number>
                  <property>AuthoredDate</property>
                  <propertyId>78342c6d-8801-441d-a333-a9f070617aff</propertyId>
                  <period>years</period>
                </formula>
                <action type="action" id="Microsoft.Office.RecordsManagement.PolicyFeatures.Expiration.Action.Skip"/>
              </data>
              <data stageId="2">
                <formula id="Microsoft.Office.RecordsManagement.PolicyFeatures.Expiration.Formula.BuiltIn">
                  <number>22</number>
                  <property>AuthoredDate</property>
                  <propertyId>78342c6d-8801-441d-a333-a9f070617aff</propertyId>
                  <period>years</period>
                </formula>
                <action type="action" id="Microsoft.Office.RecordsManagement.PolicyFeatures.Expiration.Action.MoveToRecycleBin"/>
              </data>
            </stages>
          </Schedule>
        </Schedules>
      </p:CustomData>
    </p:PolicyItem>
  </p:PolicyItems>
</p:Policy>
</file>

<file path=customXml/itemProps1.xml><?xml version="1.0" encoding="utf-8"?>
<ds:datastoreItem xmlns:ds="http://schemas.openxmlformats.org/officeDocument/2006/customXml" ds:itemID="{C01E20A4-4A01-4B48-AEDE-080DEE7CD167}">
  <ds:schemaRefs>
    <ds:schemaRef ds:uri="Microsoft.SharePoint.Taxonomy.ContentTypeSync"/>
  </ds:schemaRefs>
</ds:datastoreItem>
</file>

<file path=customXml/itemProps2.xml><?xml version="1.0" encoding="utf-8"?>
<ds:datastoreItem xmlns:ds="http://schemas.openxmlformats.org/officeDocument/2006/customXml" ds:itemID="{E4EA6027-E106-4287-BC63-8E82BF8710F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5668c8bc-6c30-45e9-80ca-5109d4270dfd"/>
    <ds:schemaRef ds:uri="2c0b3723-ae66-45ac-94fb-aaf049c45b5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E4740567-8885-4B17-A8A7-E62A25F65390}">
  <ds:schemaRefs>
    <ds:schemaRef ds:uri="http://schemas.microsoft.com/sharepoint/events"/>
  </ds:schemaRefs>
</ds:datastoreItem>
</file>

<file path=customXml/itemProps4.xml><?xml version="1.0" encoding="utf-8"?>
<ds:datastoreItem xmlns:ds="http://schemas.openxmlformats.org/officeDocument/2006/customXml" ds:itemID="{80021FE9-9325-4168-87E5-FF78166AE456}">
  <ds:schemaRefs>
    <ds:schemaRef ds:uri="http://schemas.microsoft.com/sharepoint/v3/contenttype/forms"/>
  </ds:schemaRefs>
</ds:datastoreItem>
</file>

<file path=customXml/itemProps5.xml><?xml version="1.0" encoding="utf-8"?>
<ds:datastoreItem xmlns:ds="http://schemas.openxmlformats.org/officeDocument/2006/customXml" ds:itemID="{C716FDA5-E3F6-4319-8B98-12C2706BE28C}">
  <ds:schemaRefs>
    <ds:schemaRef ds:uri="http://www.w3.org/XML/1998/namespace"/>
    <ds:schemaRef ds:uri="http://purl.org/dc/terms/"/>
    <ds:schemaRef ds:uri="http://purl.org/dc/elements/1.1/"/>
    <ds:schemaRef ds:uri="http://purl.org/dc/dcmitype/"/>
    <ds:schemaRef ds:uri="2c0b3723-ae66-45ac-94fb-aaf049c45b50"/>
    <ds:schemaRef ds:uri="http://schemas.microsoft.com/sharepoint/v3"/>
    <ds:schemaRef ds:uri="http://schemas.microsoft.com/office/2006/documentManagement/types"/>
    <ds:schemaRef ds:uri="http://schemas.microsoft.com/office/infopath/2007/PartnerControls"/>
    <ds:schemaRef ds:uri="http://schemas.openxmlformats.org/package/2006/metadata/core-properties"/>
    <ds:schemaRef ds:uri="5668c8bc-6c30-45e9-80ca-5109d4270dfd"/>
    <ds:schemaRef ds:uri="http://schemas.microsoft.com/office/2006/metadata/properties"/>
  </ds:schemaRefs>
</ds:datastoreItem>
</file>

<file path=customXml/itemProps6.xml><?xml version="1.0" encoding="utf-8"?>
<ds:datastoreItem xmlns:ds="http://schemas.openxmlformats.org/officeDocument/2006/customXml" ds:itemID="{E52797A5-794F-4B73-85C5-A3513E4F623E}">
  <ds:schemaRefs>
    <ds:schemaRef ds:uri="office.server.policy"/>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19</vt:i4>
      </vt:variant>
      <vt:variant>
        <vt:lpstr>Named Ranges</vt:lpstr>
      </vt:variant>
      <vt:variant>
        <vt:i4>20</vt:i4>
      </vt:variant>
    </vt:vector>
  </HeadingPairs>
  <TitlesOfParts>
    <vt:vector size="39" baseType="lpstr">
      <vt:lpstr>Title Sheet</vt:lpstr>
      <vt:lpstr>Contents</vt:lpstr>
      <vt:lpstr>Table 1</vt:lpstr>
      <vt:lpstr>Table 2</vt:lpstr>
      <vt:lpstr>Table 3</vt:lpstr>
      <vt:lpstr>Table 4</vt:lpstr>
      <vt:lpstr>Table 5</vt:lpstr>
      <vt:lpstr>Table 6</vt:lpstr>
      <vt:lpstr>Table 7</vt:lpstr>
      <vt:lpstr>Table 8</vt:lpstr>
      <vt:lpstr>Table 9</vt:lpstr>
      <vt:lpstr>Table 10</vt:lpstr>
      <vt:lpstr>Table 11</vt:lpstr>
      <vt:lpstr>Table 12</vt:lpstr>
      <vt:lpstr>Table 13</vt:lpstr>
      <vt:lpstr>Table 14</vt:lpstr>
      <vt:lpstr>Table 15</vt:lpstr>
      <vt:lpstr>Table 16</vt:lpstr>
      <vt:lpstr>Table 17</vt:lpstr>
      <vt:lpstr>HRG</vt:lpstr>
      <vt:lpstr>'Table 1'!Print_Area</vt:lpstr>
      <vt:lpstr>'Table 10'!Print_Area</vt:lpstr>
      <vt:lpstr>'Table 11'!Print_Area</vt:lpstr>
      <vt:lpstr>'Table 12'!Print_Area</vt:lpstr>
      <vt:lpstr>'Table 13'!Print_Area</vt:lpstr>
      <vt:lpstr>'Table 14'!Print_Area</vt:lpstr>
      <vt:lpstr>'Table 15'!Print_Area</vt:lpstr>
      <vt:lpstr>'Table 16'!Print_Area</vt:lpstr>
      <vt:lpstr>'Table 17'!Print_Area</vt:lpstr>
      <vt:lpstr>'Table 2'!Print_Area</vt:lpstr>
      <vt:lpstr>'Table 3'!Print_Area</vt:lpstr>
      <vt:lpstr>'Table 4'!Print_Area</vt:lpstr>
      <vt:lpstr>'Table 5'!Print_Area</vt:lpstr>
      <vt:lpstr>'Table 6'!Print_Area</vt:lpstr>
      <vt:lpstr>'Table 7'!Print_Area</vt:lpstr>
      <vt:lpstr>'Table 8'!Print_Area</vt:lpstr>
      <vt:lpstr>'Table 9'!Print_Area</vt:lpstr>
      <vt:lpstr>'Title Sheet'!Print_Area</vt:lpstr>
      <vt:lpstr>'Table 3'!Print_Titles</vt:lpstr>
    </vt:vector>
  </TitlesOfParts>
  <Company>HSCIC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Hospital Admitted Patient Care Activity, 2017-18: Hospital Adult Critical Care Activity</dc:title>
  <dc:creator>NPhiri</dc:creator>
  <dc:description>Checked - Suppressed - Moved to 5</dc:description>
  <cp:lastModifiedBy>BRAY, Mark (NHS ENGLAND - X26)</cp:lastModifiedBy>
  <cp:lastPrinted>2017-01-19T14:24:29Z</cp:lastPrinted>
  <dcterms:created xsi:type="dcterms:W3CDTF">2014-02-03T15:33:27Z</dcterms:created>
  <dcterms:modified xsi:type="dcterms:W3CDTF">2024-09-17T12:57:30Z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0x010100CE61D9DC7AFC6844B595FD0A55B75DF702006D2A3ED82F0632468A60C134A51A4DF3</vt:lpwstr>
  </property>
  <property fmtid="{D5CDD505-2E9C-101B-9397-08002B2CF9AE}" pid="3" name="Order">
    <vt:r8>207500</vt:r8>
  </property>
  <property fmtid="{D5CDD505-2E9C-101B-9397-08002B2CF9AE}" pid="4" name="_dlc_DocIdItemGuid">
    <vt:lpwstr>9abe445b-410a-4483-b9f4-a5fc7662db3d</vt:lpwstr>
  </property>
  <property fmtid="{D5CDD505-2E9C-101B-9397-08002B2CF9AE}" pid="5" name="_dlc_policyId">
    <vt:lpwstr>0x010100CE61D9DC7AFC6844B595FD0A55B75DF7|-2054357789</vt:lpwstr>
  </property>
  <property fmtid="{D5CDD505-2E9C-101B-9397-08002B2CF9AE}" pid="6" name="ItemRetentionFormula">
    <vt:lpwstr>&lt;formula id="Microsoft.Office.RecordsManagement.PolicyFeatures.Expiration.Formula.BuiltIn"&gt;&lt;number&gt;8&lt;/number&gt;&lt;property&gt;AuthoredDate&lt;/property&gt;&lt;propertyId&gt;78342c6d-8801-441d-a333-a9f070617aff&lt;/propertyId&gt;&lt;period&gt;years&lt;/period&gt;&lt;/formula&gt;</vt:lpwstr>
  </property>
  <property fmtid="{D5CDD505-2E9C-101B-9397-08002B2CF9AE}" pid="7" name="InformationType">
    <vt:lpwstr>14;#Document|6113f30c-7b54-4978-b917-a373efb61b62</vt:lpwstr>
  </property>
  <property fmtid="{D5CDD505-2E9C-101B-9397-08002B2CF9AE}" pid="8" name="PortfolioCode">
    <vt:lpwstr/>
  </property>
</Properties>
</file>